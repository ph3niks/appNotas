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NRC60299" sheetId="1" r:id="rId5"/>
    <sheet state="visible" name="NRC55581" sheetId="2" r:id="rId6"/>
    <sheet state="visible" name="NRC55546" sheetId="3" r:id="rId7"/>
    <sheet state="visible" name="NRC63507" sheetId="4" r:id="rId8"/>
    <sheet state="visible" name="NRC62529" sheetId="5" r:id="rId9"/>
  </sheets>
  <definedNames/>
  <calcPr/>
</workbook>
</file>

<file path=xl/sharedStrings.xml><?xml version="1.0" encoding="utf-8"?>
<sst xmlns="http://schemas.openxmlformats.org/spreadsheetml/2006/main" count="342" uniqueCount="233">
  <si>
    <t>No</t>
  </si>
  <si>
    <t>NOMBRE</t>
  </si>
  <si>
    <t>P1</t>
  </si>
  <si>
    <t>P2</t>
  </si>
  <si>
    <t>PQT1</t>
  </si>
  <si>
    <t>1CTE</t>
  </si>
  <si>
    <t>Ta1</t>
  </si>
  <si>
    <t>Ta2</t>
  </si>
  <si>
    <t>Ta3</t>
  </si>
  <si>
    <t>Ta4</t>
  </si>
  <si>
    <t>Ta5</t>
  </si>
  <si>
    <t>Ta6</t>
  </si>
  <si>
    <t>P3</t>
  </si>
  <si>
    <t>P4</t>
  </si>
  <si>
    <t>PQT2</t>
  </si>
  <si>
    <t>PA</t>
  </si>
  <si>
    <t>2CTE</t>
  </si>
  <si>
    <t>FINAL</t>
  </si>
  <si>
    <t>Ta7</t>
  </si>
  <si>
    <t>Ta8</t>
  </si>
  <si>
    <t>Ta9</t>
  </si>
  <si>
    <t>Ta10</t>
  </si>
  <si>
    <t>Ta11</t>
  </si>
  <si>
    <t>Ta12</t>
  </si>
  <si>
    <t>Ta13</t>
  </si>
  <si>
    <t>ID</t>
  </si>
  <si>
    <t>NRC</t>
  </si>
  <si>
    <t>ACEVEDO GARNICA, CARLOS A.</t>
  </si>
  <si>
    <t>U00146826</t>
  </si>
  <si>
    <t>AGUIRRE RINCON, MARIA A.</t>
  </si>
  <si>
    <t>U00188391</t>
  </si>
  <si>
    <t>ALVAREZ FLOREZ, YAJART D.</t>
  </si>
  <si>
    <t>U00190869</t>
  </si>
  <si>
    <t>ALVERNIA CACERES, MARIANA</t>
  </si>
  <si>
    <t>U00189899</t>
  </si>
  <si>
    <t>BAUTISTA GOMEZ, JUAN D.</t>
  </si>
  <si>
    <t>U00190892</t>
  </si>
  <si>
    <t>CARVAJAL FONTALVO, JUAN S.</t>
  </si>
  <si>
    <t>U00188544</t>
  </si>
  <si>
    <t>DAZA OÑATE, SERGIO A.</t>
  </si>
  <si>
    <t>U00188724</t>
  </si>
  <si>
    <t>DUARTE RUIZ, SILVIA J.</t>
  </si>
  <si>
    <t>U00191010</t>
  </si>
  <si>
    <t>DURAN MATAMOROS, MARIA F.</t>
  </si>
  <si>
    <t>U00190932</t>
  </si>
  <si>
    <t>JAIMES ALVAREZ, JOSE A.</t>
  </si>
  <si>
    <t>U00190386</t>
  </si>
  <si>
    <t>JAIMES ARDILA, DANA X.</t>
  </si>
  <si>
    <t>U00190557</t>
  </si>
  <si>
    <t>LOPEZ NIÑO, ALEJANDRA</t>
  </si>
  <si>
    <t>U00189600</t>
  </si>
  <si>
    <t>MERCHAN OÑATE, JOSEMIGUEL</t>
  </si>
  <si>
    <t>U00189875</t>
  </si>
  <si>
    <t>MORA PARADA, MANUEL A.</t>
  </si>
  <si>
    <t>U00103238</t>
  </si>
  <si>
    <t>NIETO MIZART, CARLOS A.</t>
  </si>
  <si>
    <t>U00189280</t>
  </si>
  <si>
    <t>PARDO GUERRERO, ANDRES F.</t>
  </si>
  <si>
    <t>U00190940</t>
  </si>
  <si>
    <t>QUINTERO ARENAS, EMANUELLE R.</t>
  </si>
  <si>
    <t>U00176463</t>
  </si>
  <si>
    <t>RIVERA MONTIEL, DALYS J.</t>
  </si>
  <si>
    <t>U00190490</t>
  </si>
  <si>
    <t>RIVERA RIVERA, KATHERINE J.</t>
  </si>
  <si>
    <t>U00132098</t>
  </si>
  <si>
    <t>RODRIGUEZ RUIZ, MARIA A.</t>
  </si>
  <si>
    <t>U00190924</t>
  </si>
  <si>
    <t>ROMAN FLOREZ, MARIA J.</t>
  </si>
  <si>
    <t>U00190000</t>
  </si>
  <si>
    <t>RUIZ MONTERO, MARIANA</t>
  </si>
  <si>
    <t>U00189536</t>
  </si>
  <si>
    <t>TORRES CHAVEZ, SARA S.</t>
  </si>
  <si>
    <t>U00165906</t>
  </si>
  <si>
    <t>CN</t>
  </si>
  <si>
    <t>BOADA MANZANO, ANGELO</t>
  </si>
  <si>
    <t>U00194619</t>
  </si>
  <si>
    <t>CACERES DAZA, NICOLAS</t>
  </si>
  <si>
    <t>U00193956</t>
  </si>
  <si>
    <t>CARREÑO DIAZ, SHIRLEY L.</t>
  </si>
  <si>
    <t>U00194124</t>
  </si>
  <si>
    <t>CARVAJAL NIÑO, ARIANA C.</t>
  </si>
  <si>
    <t>U00191934</t>
  </si>
  <si>
    <t>CASTILLA IBAÑEZ, JOSE D.</t>
  </si>
  <si>
    <t>U00193915</t>
  </si>
  <si>
    <t>CLARO MARTINEZ, PAULO C.</t>
  </si>
  <si>
    <t>U00193113</t>
  </si>
  <si>
    <t>CRISPIN CASTELLANOS, JUAN M.</t>
  </si>
  <si>
    <t>U00192477</t>
  </si>
  <si>
    <t>DUSSAN RODRIGUEZ, JOHN A.</t>
  </si>
  <si>
    <t>U00192526</t>
  </si>
  <si>
    <t>ESTRADA MUNERA, JUAN C.</t>
  </si>
  <si>
    <t>U00193149</t>
  </si>
  <si>
    <t>GOMEZ BONILLA, MARIA P.</t>
  </si>
  <si>
    <t>U00192726</t>
  </si>
  <si>
    <t>HERNANDEZ MONSALVE, NICOLAS A.</t>
  </si>
  <si>
    <t>U00194037</t>
  </si>
  <si>
    <t>LOPEZ ROJAS, MARIA J.</t>
  </si>
  <si>
    <t>U00192705</t>
  </si>
  <si>
    <t>MARTINEZ CEPEDA, JUAN D.</t>
  </si>
  <si>
    <t>U00193858</t>
  </si>
  <si>
    <t>MENESES JAIMES, WALTHER D.</t>
  </si>
  <si>
    <t>U00192059</t>
  </si>
  <si>
    <t>PINZON ARDILA, MARIA C.</t>
  </si>
  <si>
    <t>U00192970</t>
  </si>
  <si>
    <t>RUSSI PICO, LUIGI D.</t>
  </si>
  <si>
    <t>U00193142</t>
  </si>
  <si>
    <t>SANTOYO JAIMES, JUAN D.</t>
  </si>
  <si>
    <t>U00186645</t>
  </si>
  <si>
    <t>TRUJILLO NOVA, LAURA S.</t>
  </si>
  <si>
    <t>U00191929</t>
  </si>
  <si>
    <t>VILLAMIZAR MARTINEZ, OSCAR S.</t>
  </si>
  <si>
    <t>U00194227</t>
  </si>
  <si>
    <t>VILLEGAS PINZON, MARIANA A.</t>
  </si>
  <si>
    <t>U00194368</t>
  </si>
  <si>
    <t>AMOROCHO CORTES, MARIA J.</t>
  </si>
  <si>
    <t>U00186151</t>
  </si>
  <si>
    <t>BELTRAN HERNANDEZ, ANA M.</t>
  </si>
  <si>
    <t>U00190844</t>
  </si>
  <si>
    <t>BONZA ACEVEDO, DIEGO A.</t>
  </si>
  <si>
    <t>U00189302</t>
  </si>
  <si>
    <t>CARVAJAL PATIÑO, MARIA P.</t>
  </si>
  <si>
    <t>U00189715</t>
  </si>
  <si>
    <t>CASTIBLANCO VELASCO, MATEO</t>
  </si>
  <si>
    <t>ESCORCIA FRUTO, MARIANYS H.</t>
  </si>
  <si>
    <t>U00190475</t>
  </si>
  <si>
    <t>ESPINEL BACCA, ANGIE C.</t>
  </si>
  <si>
    <t>U00190980</t>
  </si>
  <si>
    <t>GOMEZ QUINTERO, LISET G.</t>
  </si>
  <si>
    <t>U00188393</t>
  </si>
  <si>
    <t>HERNANDEZ PINTO, LUISA F.</t>
  </si>
  <si>
    <t>U00190951</t>
  </si>
  <si>
    <t>HERNANDEZ YEPEZ, LUIS F.</t>
  </si>
  <si>
    <t>U00190971</t>
  </si>
  <si>
    <t>JAIMES ROJAS, JHOAN S.</t>
  </si>
  <si>
    <t>U00190952</t>
  </si>
  <si>
    <t>LANDAZABAL VALBUENA, YOSLIN S.</t>
  </si>
  <si>
    <t>U00189506</t>
  </si>
  <si>
    <t>LUNA HERNANDEZ, JOSEPH J.</t>
  </si>
  <si>
    <t>U00190855</t>
  </si>
  <si>
    <t>MELO ARDILA, PAULA J.</t>
  </si>
  <si>
    <t>U00188572</t>
  </si>
  <si>
    <t>MENDEZ PEREZ, LUNA F.</t>
  </si>
  <si>
    <t>U00190921</t>
  </si>
  <si>
    <t>MONTOYA PEDRAZA, CARLOS E.</t>
  </si>
  <si>
    <t>U00190037</t>
  </si>
  <si>
    <t>MORENO PORTILLA, STEPHANY P.</t>
  </si>
  <si>
    <t>U00190913</t>
  </si>
  <si>
    <t>NAVARRO HERNANDEZ, JUAN J.</t>
  </si>
  <si>
    <t>U00189207</t>
  </si>
  <si>
    <t>OVALLE JIMENEZ, DANNA M.</t>
  </si>
  <si>
    <t>U00190960</t>
  </si>
  <si>
    <t>PALLARES DITTA, LUIS M.</t>
  </si>
  <si>
    <t>U00189475</t>
  </si>
  <si>
    <t>ROZO SANTOS, CAROLINA</t>
  </si>
  <si>
    <t>U00190866</t>
  </si>
  <si>
    <t>SANTAMARIA PAEZ, ALEXANDRA</t>
  </si>
  <si>
    <t>U00188702</t>
  </si>
  <si>
    <t>SANTAMARIA VELASCO, IVAN D.</t>
  </si>
  <si>
    <t>U00189620</t>
  </si>
  <si>
    <t>TARAZONA ARENALES, ISABELLA</t>
  </si>
  <si>
    <t>U00079391</t>
  </si>
  <si>
    <t>VARGAS CASTELLANOS, VALERIA</t>
  </si>
  <si>
    <t>U00190937</t>
  </si>
  <si>
    <t>AGUDELO FLOREZ, DANIEL F.</t>
  </si>
  <si>
    <t>U00167708</t>
  </si>
  <si>
    <t>CADENA LOPEZ, ANDRES J.</t>
  </si>
  <si>
    <t>U00178362</t>
  </si>
  <si>
    <t>CESPEDES URIBE, MARIA J.</t>
  </si>
  <si>
    <t>U00144436</t>
  </si>
  <si>
    <t>CORREA TORO, YULIETH D.</t>
  </si>
  <si>
    <t>U00186154</t>
  </si>
  <si>
    <t>EL FEGHALI PEREZ, MICHAEL C.</t>
  </si>
  <si>
    <t>U00179741</t>
  </si>
  <si>
    <t>ESCOBAR ESPINOSA, WENDY J.</t>
  </si>
  <si>
    <t>U00183448</t>
  </si>
  <si>
    <t>GALLO FLOREZ, DANIELA</t>
  </si>
  <si>
    <t>U00177993</t>
  </si>
  <si>
    <t>PLATA DIAZ, MARIAN S.</t>
  </si>
  <si>
    <t>U00186962</t>
  </si>
  <si>
    <t>RODRIGUEZ DIAZ, DANIEL A.</t>
  </si>
  <si>
    <t>U00183439</t>
  </si>
  <si>
    <t>SIERRA OREJARENA, JUAN F.</t>
  </si>
  <si>
    <t>U00186689</t>
  </si>
  <si>
    <t>SUAREZ JIMENEZ, MARIANA</t>
  </si>
  <si>
    <t>U00180170</t>
  </si>
  <si>
    <t>TORRES RONDON, DALTON Y.</t>
  </si>
  <si>
    <t>U00187627</t>
  </si>
  <si>
    <t>VILLARRUEL NARVAEZ, MARIA J.</t>
  </si>
  <si>
    <t>U00186511</t>
  </si>
  <si>
    <t>VILLAMIZAR MUÑOZ, JENNIFER L.</t>
  </si>
  <si>
    <t>U00186798</t>
  </si>
  <si>
    <t>VIVIESCAS DIAZ, MARIA J.</t>
  </si>
  <si>
    <t>U00182742</t>
  </si>
  <si>
    <t>ACOSTA YARURO, SOFIA</t>
  </si>
  <si>
    <t>U00190130</t>
  </si>
  <si>
    <t>ALFARO SEPULVEDA, FABIAN A.</t>
  </si>
  <si>
    <t>U00190358</t>
  </si>
  <si>
    <t>ALVAREZ MANRIQUE, DANIEL</t>
  </si>
  <si>
    <t>U00190086</t>
  </si>
  <si>
    <t>AMAYA GONZALEZ, JAIRO J.</t>
  </si>
  <si>
    <t>U00186584</t>
  </si>
  <si>
    <t>ARGUELLO VELANDIA, DAYANNA M.</t>
  </si>
  <si>
    <t>U00143077</t>
  </si>
  <si>
    <t>ARIAS RODRIGUEZ, JUAN P.</t>
  </si>
  <si>
    <t>U00189998</t>
  </si>
  <si>
    <t>CACERES AYALA, JUAN D.</t>
  </si>
  <si>
    <t>U00189341</t>
  </si>
  <si>
    <t>CHANAGA REINA, SANTIAGO D.</t>
  </si>
  <si>
    <t>U00190156</t>
  </si>
  <si>
    <t>GAMBOA VESGA, ALEJANDRO</t>
  </si>
  <si>
    <t>U00171125</t>
  </si>
  <si>
    <t>GOMEZ QUINTERO, SANTIAGO A.</t>
  </si>
  <si>
    <t>U00189659</t>
  </si>
  <si>
    <t>GONZALEZ JAIMES, SAMY N.</t>
  </si>
  <si>
    <t>U00189679</t>
  </si>
  <si>
    <t>GONZALEZ MENDOZA, MARYI T.</t>
  </si>
  <si>
    <t>U00189517</t>
  </si>
  <si>
    <t>HERNANDEZ MONROY, IVAN F.</t>
  </si>
  <si>
    <t>U00188432</t>
  </si>
  <si>
    <t>HERNANDEZ ROA, JUAN E.</t>
  </si>
  <si>
    <t>U00145546</t>
  </si>
  <si>
    <t>LOPEZ MARTINEZ, ESTEFANY A.</t>
  </si>
  <si>
    <t>U00170700</t>
  </si>
  <si>
    <t>MONTENEGRO FULA, JORGE S.</t>
  </si>
  <si>
    <t>U00194322</t>
  </si>
  <si>
    <t>ORDUZ FERNANDEZ, KALETH Z.</t>
  </si>
  <si>
    <t>U00190611</t>
  </si>
  <si>
    <t>PEÑARANDA PEREZ, JUAN E.</t>
  </si>
  <si>
    <t>U00190571</t>
  </si>
  <si>
    <t>RIVERA CRISTANCHO, ANDRES F.</t>
  </si>
  <si>
    <t>U00195213</t>
  </si>
  <si>
    <t>SANCHEZ SERRANO, JUAN P.</t>
  </si>
  <si>
    <t>U00184452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</si>
</sst>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0" fontId="1" numFmtId="164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30.88"/>
    <col customWidth="1" min="3" max="16" width="4.88"/>
    <col customWidth="1" min="17" max="17" width="5.25"/>
    <col customWidth="1" min="18" max="18" width="5.5"/>
    <col customWidth="1" min="19" max="24" width="4.88"/>
    <col customWidth="1" min="25" max="25" width="6.38"/>
    <col customWidth="1" min="26" max="26" width="10.0"/>
    <col customWidth="1" min="27" max="27" width="10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</row>
    <row r="2">
      <c r="A2" s="1">
        <v>1.0</v>
      </c>
      <c r="B2" s="2" t="s">
        <v>27</v>
      </c>
      <c r="C2" s="3">
        <f>IFERROR(__xludf.DUMMYFUNCTION("IMPORTRANGE(""1vS2gE-mc1A6CX14zq-8uhU927dLafFRogBm_03E8occ"",""MAT2_A!C2:L24"")"),2.46)</f>
        <v>2.46</v>
      </c>
      <c r="D2" s="4">
        <f>IFERROR(__xludf.DUMMYFUNCTION("""COMPUTED_VALUE"""),0.020000000000000004)</f>
        <v>0.02</v>
      </c>
      <c r="E2" s="3">
        <f>IFERROR(__xludf.DUMMYFUNCTION("""COMPUTED_VALUE"""),3.6)</f>
        <v>3.6</v>
      </c>
      <c r="F2" s="4">
        <f>IFERROR(__xludf.DUMMYFUNCTION("""COMPUTED_VALUE"""),1.9)</f>
        <v>1.9</v>
      </c>
      <c r="G2" s="1">
        <f>IFERROR(__xludf.DUMMYFUNCTION("""COMPUTED_VALUE"""),4.9)</f>
        <v>4.9</v>
      </c>
      <c r="H2" s="1">
        <f>IFERROR(__xludf.DUMMYFUNCTION("""COMPUTED_VALUE"""),5.0)</f>
        <v>5</v>
      </c>
      <c r="I2" s="1">
        <f>IFERROR(__xludf.DUMMYFUNCTION("""COMPUTED_VALUE"""),4.5)</f>
        <v>4.5</v>
      </c>
      <c r="J2" s="4">
        <f>IFERROR(__xludf.DUMMYFUNCTION("""COMPUTED_VALUE"""),0.1)</f>
        <v>0.1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1" t="s">
        <v>28</v>
      </c>
      <c r="AA2" s="1">
        <v>60299.0</v>
      </c>
    </row>
    <row r="3">
      <c r="A3" s="1">
        <v>2.0</v>
      </c>
      <c r="B3" s="2" t="s">
        <v>29</v>
      </c>
      <c r="C3" s="3">
        <f>IFERROR(__xludf.DUMMYFUNCTION("""COMPUTED_VALUE"""),3.34)</f>
        <v>3.34</v>
      </c>
      <c r="D3" s="4">
        <f>IFERROR(__xludf.DUMMYFUNCTION("""COMPUTED_VALUE"""),0.020000000000000004)</f>
        <v>0.02</v>
      </c>
      <c r="E3" s="3">
        <f>IFERROR(__xludf.DUMMYFUNCTION("""COMPUTED_VALUE"""),2.1)</f>
        <v>2.1</v>
      </c>
      <c r="F3" s="4">
        <f>IFERROR(__xludf.DUMMYFUNCTION("""COMPUTED_VALUE"""),1.8)</f>
        <v>1.8</v>
      </c>
      <c r="G3" s="1">
        <f>IFERROR(__xludf.DUMMYFUNCTION("""COMPUTED_VALUE"""),4.3)</f>
        <v>4.3</v>
      </c>
      <c r="H3" s="1">
        <f>IFERROR(__xludf.DUMMYFUNCTION("""COMPUTED_VALUE"""),3.8)</f>
        <v>3.8</v>
      </c>
      <c r="I3" s="1">
        <f>IFERROR(__xludf.DUMMYFUNCTION("""COMPUTED_VALUE"""),0.0)</f>
        <v>0</v>
      </c>
      <c r="J3" s="4">
        <f>IFERROR(__xludf.DUMMYFUNCTION("""COMPUTED_VALUE"""),0.1)</f>
        <v>0.1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1" t="s">
        <v>30</v>
      </c>
      <c r="AA3" s="1">
        <v>60299.0</v>
      </c>
    </row>
    <row r="4">
      <c r="A4" s="1">
        <v>3.0</v>
      </c>
      <c r="B4" s="2" t="s">
        <v>31</v>
      </c>
      <c r="C4" s="3">
        <f>IFERROR(__xludf.DUMMYFUNCTION("""COMPUTED_VALUE"""),5.0)</f>
        <v>5</v>
      </c>
      <c r="D4" s="4">
        <f>IFERROR(__xludf.DUMMYFUNCTION("""COMPUTED_VALUE"""),0.020000000000000004)</f>
        <v>0.02</v>
      </c>
      <c r="E4" s="3">
        <f>IFERROR(__xludf.DUMMYFUNCTION("""COMPUTED_VALUE"""),3.6)</f>
        <v>3.6</v>
      </c>
      <c r="F4" s="4">
        <f>IFERROR(__xludf.DUMMYFUNCTION("""COMPUTED_VALUE"""),2.8)</f>
        <v>2.8</v>
      </c>
      <c r="G4" s="1">
        <f>IFERROR(__xludf.DUMMYFUNCTION("""COMPUTED_VALUE"""),5.0)</f>
        <v>5</v>
      </c>
      <c r="H4" s="1">
        <f>IFERROR(__xludf.DUMMYFUNCTION("""COMPUTED_VALUE"""),4.8)</f>
        <v>4.8</v>
      </c>
      <c r="I4" s="1">
        <f>IFERROR(__xludf.DUMMYFUNCTION("""COMPUTED_VALUE"""),4.3)</f>
        <v>4.3</v>
      </c>
      <c r="J4" s="4">
        <f>IFERROR(__xludf.DUMMYFUNCTION("""COMPUTED_VALUE"""),0.1)</f>
        <v>0.1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1" t="s">
        <v>32</v>
      </c>
      <c r="AA4" s="1">
        <v>60299.0</v>
      </c>
    </row>
    <row r="5">
      <c r="A5" s="1">
        <v>4.0</v>
      </c>
      <c r="B5" s="2" t="s">
        <v>33</v>
      </c>
      <c r="C5" s="3">
        <f>IFERROR(__xludf.DUMMYFUNCTION("""COMPUTED_VALUE"""),4.966666666666667)</f>
        <v>4.966666667</v>
      </c>
      <c r="D5" s="4">
        <f>IFERROR(__xludf.DUMMYFUNCTION("""COMPUTED_VALUE"""),0.020000000000000004)</f>
        <v>0.02</v>
      </c>
      <c r="E5" s="3">
        <f>IFERROR(__xludf.DUMMYFUNCTION("""COMPUTED_VALUE"""),3.7)</f>
        <v>3.7</v>
      </c>
      <c r="F5" s="4">
        <f>IFERROR(__xludf.DUMMYFUNCTION("""COMPUTED_VALUE"""),2.9)</f>
        <v>2.9</v>
      </c>
      <c r="G5" s="1">
        <f>IFERROR(__xludf.DUMMYFUNCTION("""COMPUTED_VALUE"""),4.8)</f>
        <v>4.8</v>
      </c>
      <c r="H5" s="1">
        <f>IFERROR(__xludf.DUMMYFUNCTION("""COMPUTED_VALUE"""),4.9)</f>
        <v>4.9</v>
      </c>
      <c r="I5" s="1">
        <f>IFERROR(__xludf.DUMMYFUNCTION("""COMPUTED_VALUE"""),4.8)</f>
        <v>4.8</v>
      </c>
      <c r="J5" s="4">
        <f>IFERROR(__xludf.DUMMYFUNCTION("""COMPUTED_VALUE"""),0.1)</f>
        <v>0.1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1" t="s">
        <v>34</v>
      </c>
      <c r="AA5" s="1">
        <v>60299.0</v>
      </c>
    </row>
    <row r="6">
      <c r="A6" s="1">
        <v>5.0</v>
      </c>
      <c r="B6" s="2" t="s">
        <v>35</v>
      </c>
      <c r="C6" s="3">
        <f>IFERROR(__xludf.DUMMYFUNCTION("""COMPUTED_VALUE"""),5.0)</f>
        <v>5</v>
      </c>
      <c r="D6" s="4">
        <f>IFERROR(__xludf.DUMMYFUNCTION("""COMPUTED_VALUE"""),0.020000000000000004)</f>
        <v>0.02</v>
      </c>
      <c r="E6" s="3">
        <f>IFERROR(__xludf.DUMMYFUNCTION("""COMPUTED_VALUE"""),3.6)</f>
        <v>3.6</v>
      </c>
      <c r="F6" s="4">
        <f>IFERROR(__xludf.DUMMYFUNCTION("""COMPUTED_VALUE"""),2.8)</f>
        <v>2.8</v>
      </c>
      <c r="G6" s="1">
        <f>IFERROR(__xludf.DUMMYFUNCTION("""COMPUTED_VALUE"""),4.8)</f>
        <v>4.8</v>
      </c>
      <c r="H6" s="1">
        <f>IFERROR(__xludf.DUMMYFUNCTION("""COMPUTED_VALUE"""),4.6)</f>
        <v>4.6</v>
      </c>
      <c r="I6" s="1">
        <f>IFERROR(__xludf.DUMMYFUNCTION("""COMPUTED_VALUE"""),5.0)</f>
        <v>5</v>
      </c>
      <c r="J6" s="4">
        <f>IFERROR(__xludf.DUMMYFUNCTION("""COMPUTED_VALUE"""),0.1)</f>
        <v>0.1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1" t="s">
        <v>36</v>
      </c>
      <c r="AA6" s="1">
        <v>60299.0</v>
      </c>
    </row>
    <row r="7">
      <c r="A7" s="1">
        <v>6.0</v>
      </c>
      <c r="B7" s="2" t="s">
        <v>37</v>
      </c>
      <c r="C7" s="3">
        <f>IFERROR(__xludf.DUMMYFUNCTION("""COMPUTED_VALUE"""),0.6000000000000001)</f>
        <v>0.6</v>
      </c>
      <c r="D7" s="4">
        <f>IFERROR(__xludf.DUMMYFUNCTION("""COMPUTED_VALUE"""),0.020000000000000004)</f>
        <v>0.02</v>
      </c>
      <c r="E7" s="3">
        <f>IFERROR(__xludf.DUMMYFUNCTION("""COMPUTED_VALUE"""),2.3)</f>
        <v>2.3</v>
      </c>
      <c r="F7" s="4">
        <f>IFERROR(__xludf.DUMMYFUNCTION("""COMPUTED_VALUE"""),0.9)</f>
        <v>0.9</v>
      </c>
      <c r="G7" s="1">
        <f>IFERROR(__xludf.DUMMYFUNCTION("""COMPUTED_VALUE"""),4.7)</f>
        <v>4.7</v>
      </c>
      <c r="H7" s="1">
        <f>IFERROR(__xludf.DUMMYFUNCTION("""COMPUTED_VALUE"""),0.0)</f>
        <v>0</v>
      </c>
      <c r="I7" s="1">
        <f>IFERROR(__xludf.DUMMYFUNCTION("""COMPUTED_VALUE"""),4.3)</f>
        <v>4.3</v>
      </c>
      <c r="J7" s="4">
        <f>IFERROR(__xludf.DUMMYFUNCTION("""COMPUTED_VALUE"""),0.1)</f>
        <v>0.1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1" t="s">
        <v>38</v>
      </c>
      <c r="AA7" s="1">
        <v>60299.0</v>
      </c>
    </row>
    <row r="8">
      <c r="A8" s="1">
        <v>7.0</v>
      </c>
      <c r="B8" s="2" t="s">
        <v>39</v>
      </c>
      <c r="C8" s="3">
        <f>IFERROR(__xludf.DUMMYFUNCTION("""COMPUTED_VALUE"""),3.4466666666666663)</f>
        <v>3.446666667</v>
      </c>
      <c r="D8" s="4">
        <f>IFERROR(__xludf.DUMMYFUNCTION("""COMPUTED_VALUE"""),0.020000000000000004)</f>
        <v>0.02</v>
      </c>
      <c r="E8" s="3">
        <f>IFERROR(__xludf.DUMMYFUNCTION("""COMPUTED_VALUE"""),2.5)</f>
        <v>2.5</v>
      </c>
      <c r="F8" s="4">
        <f>IFERROR(__xludf.DUMMYFUNCTION("""COMPUTED_VALUE"""),2.0)</f>
        <v>2</v>
      </c>
      <c r="G8" s="1">
        <f>IFERROR(__xludf.DUMMYFUNCTION("""COMPUTED_VALUE"""),4.9)</f>
        <v>4.9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4">
        <f>IFERROR(__xludf.DUMMYFUNCTION("""COMPUTED_VALUE"""),0.1)</f>
        <v>0.1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1" t="s">
        <v>40</v>
      </c>
      <c r="AA8" s="1">
        <v>60299.0</v>
      </c>
    </row>
    <row r="9">
      <c r="A9" s="1">
        <v>8.0</v>
      </c>
      <c r="B9" s="2" t="s">
        <v>41</v>
      </c>
      <c r="C9" s="3">
        <f>IFERROR(__xludf.DUMMYFUNCTION("""COMPUTED_VALUE"""),4.86)</f>
        <v>4.86</v>
      </c>
      <c r="D9" s="4">
        <f>IFERROR(__xludf.DUMMYFUNCTION("""COMPUTED_VALUE"""),0.020000000000000004)</f>
        <v>0.02</v>
      </c>
      <c r="E9" s="3">
        <f>IFERROR(__xludf.DUMMYFUNCTION("""COMPUTED_VALUE"""),2.5)</f>
        <v>2.5</v>
      </c>
      <c r="F9" s="4">
        <f>IFERROR(__xludf.DUMMYFUNCTION("""COMPUTED_VALUE"""),2.5)</f>
        <v>2.5</v>
      </c>
      <c r="G9" s="1">
        <f>IFERROR(__xludf.DUMMYFUNCTION("""COMPUTED_VALUE"""),5.0)</f>
        <v>5</v>
      </c>
      <c r="H9" s="1">
        <f>IFERROR(__xludf.DUMMYFUNCTION("""COMPUTED_VALUE"""),4.9)</f>
        <v>4.9</v>
      </c>
      <c r="I9" s="1">
        <f>IFERROR(__xludf.DUMMYFUNCTION("""COMPUTED_VALUE"""),0.0)</f>
        <v>0</v>
      </c>
      <c r="J9" s="4">
        <f>IFERROR(__xludf.DUMMYFUNCTION("""COMPUTED_VALUE"""),0.1)</f>
        <v>0.1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1" t="s">
        <v>42</v>
      </c>
      <c r="AA9" s="1">
        <v>60299.0</v>
      </c>
    </row>
    <row r="10">
      <c r="A10" s="1">
        <v>9.0</v>
      </c>
      <c r="B10" s="2" t="s">
        <v>43</v>
      </c>
      <c r="C10" s="3">
        <f>IFERROR(__xludf.DUMMYFUNCTION("""COMPUTED_VALUE"""),3.066666666666667)</f>
        <v>3.066666667</v>
      </c>
      <c r="D10" s="4">
        <f>IFERROR(__xludf.DUMMYFUNCTION("""COMPUTED_VALUE"""),0.020000000000000004)</f>
        <v>0.02</v>
      </c>
      <c r="E10" s="3">
        <f>IFERROR(__xludf.DUMMYFUNCTION("""COMPUTED_VALUE"""),2.2)</f>
        <v>2.2</v>
      </c>
      <c r="F10" s="4">
        <f>IFERROR(__xludf.DUMMYFUNCTION("""COMPUTED_VALUE"""),1.7)</f>
        <v>1.7</v>
      </c>
      <c r="G10" s="1">
        <f>IFERROR(__xludf.DUMMYFUNCTION("""COMPUTED_VALUE"""),4.0)</f>
        <v>4</v>
      </c>
      <c r="H10" s="1">
        <f>IFERROR(__xludf.DUMMYFUNCTION("""COMPUTED_VALUE"""),4.5)</f>
        <v>4.5</v>
      </c>
      <c r="I10" s="1">
        <f>IFERROR(__xludf.DUMMYFUNCTION("""COMPUTED_VALUE"""),0.0)</f>
        <v>0</v>
      </c>
      <c r="J10" s="4">
        <f>IFERROR(__xludf.DUMMYFUNCTION("""COMPUTED_VALUE"""),0.1)</f>
        <v>0.1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1" t="s">
        <v>44</v>
      </c>
      <c r="AA10" s="1">
        <v>60299.0</v>
      </c>
    </row>
    <row r="11">
      <c r="A11" s="1">
        <v>10.0</v>
      </c>
      <c r="B11" s="2" t="s">
        <v>45</v>
      </c>
      <c r="C11" s="3">
        <f>IFERROR(__xludf.DUMMYFUNCTION("""COMPUTED_VALUE"""),2.4066666666666667)</f>
        <v>2.406666667</v>
      </c>
      <c r="D11" s="4">
        <f>IFERROR(__xludf.DUMMYFUNCTION("""COMPUTED_VALUE"""),0.020000000000000004)</f>
        <v>0.02</v>
      </c>
      <c r="E11" s="3">
        <f>IFERROR(__xludf.DUMMYFUNCTION("""COMPUTED_VALUE"""),3.4)</f>
        <v>3.4</v>
      </c>
      <c r="F11" s="4">
        <f>IFERROR(__xludf.DUMMYFUNCTION("""COMPUTED_VALUE"""),1.9)</f>
        <v>1.9</v>
      </c>
      <c r="G11" s="1">
        <f>IFERROR(__xludf.DUMMYFUNCTION("""COMPUTED_VALUE"""),4.5)</f>
        <v>4.5</v>
      </c>
      <c r="H11" s="1">
        <f>IFERROR(__xludf.DUMMYFUNCTION("""COMPUTED_VALUE"""),4.5)</f>
        <v>4.5</v>
      </c>
      <c r="I11" s="1">
        <f>IFERROR(__xludf.DUMMYFUNCTION("""COMPUTED_VALUE"""),4.6)</f>
        <v>4.6</v>
      </c>
      <c r="J11" s="4">
        <f>IFERROR(__xludf.DUMMYFUNCTION("""COMPUTED_VALUE"""),0.1)</f>
        <v>0.1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1" t="s">
        <v>46</v>
      </c>
      <c r="AA11" s="1">
        <v>60299.0</v>
      </c>
    </row>
    <row r="12">
      <c r="A12" s="1">
        <v>11.0</v>
      </c>
      <c r="B12" s="2" t="s">
        <v>47</v>
      </c>
      <c r="C12" s="3">
        <f>IFERROR(__xludf.DUMMYFUNCTION("""COMPUTED_VALUE"""),4.486666666666666)</f>
        <v>4.486666667</v>
      </c>
      <c r="D12" s="4">
        <f>IFERROR(__xludf.DUMMYFUNCTION("""COMPUTED_VALUE"""),0.020000000000000004)</f>
        <v>0.02</v>
      </c>
      <c r="E12" s="3">
        <f>IFERROR(__xludf.DUMMYFUNCTION("""COMPUTED_VALUE"""),3.7)</f>
        <v>3.7</v>
      </c>
      <c r="F12" s="4">
        <f>IFERROR(__xludf.DUMMYFUNCTION("""COMPUTED_VALUE"""),2.7)</f>
        <v>2.7</v>
      </c>
      <c r="G12" s="1">
        <f>IFERROR(__xludf.DUMMYFUNCTION("""COMPUTED_VALUE"""),5.0)</f>
        <v>5</v>
      </c>
      <c r="H12" s="1">
        <f>IFERROR(__xludf.DUMMYFUNCTION("""COMPUTED_VALUE"""),5.0)</f>
        <v>5</v>
      </c>
      <c r="I12" s="1">
        <f>IFERROR(__xludf.DUMMYFUNCTION("""COMPUTED_VALUE"""),4.8)</f>
        <v>4.8</v>
      </c>
      <c r="J12" s="4">
        <f>IFERROR(__xludf.DUMMYFUNCTION("""COMPUTED_VALUE"""),0.1)</f>
        <v>0.1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1" t="s">
        <v>48</v>
      </c>
      <c r="AA12" s="1">
        <v>60299.0</v>
      </c>
    </row>
    <row r="13">
      <c r="A13" s="1">
        <v>12.0</v>
      </c>
      <c r="B13" s="2" t="s">
        <v>49</v>
      </c>
      <c r="C13" s="3">
        <f>IFERROR(__xludf.DUMMYFUNCTION("""COMPUTED_VALUE"""),3.0033333333333334)</f>
        <v>3.003333333</v>
      </c>
      <c r="D13" s="4">
        <f>IFERROR(__xludf.DUMMYFUNCTION("""COMPUTED_VALUE"""),0.020000000000000004)</f>
        <v>0.02</v>
      </c>
      <c r="E13" s="3">
        <f>IFERROR(__xludf.DUMMYFUNCTION("""COMPUTED_VALUE"""),3.2)</f>
        <v>3.2</v>
      </c>
      <c r="F13" s="4">
        <f>IFERROR(__xludf.DUMMYFUNCTION("""COMPUTED_VALUE"""),2.0)</f>
        <v>2</v>
      </c>
      <c r="G13" s="1">
        <f>IFERROR(__xludf.DUMMYFUNCTION("""COMPUTED_VALUE"""),4.0)</f>
        <v>4</v>
      </c>
      <c r="H13" s="1">
        <f>IFERROR(__xludf.DUMMYFUNCTION("""COMPUTED_VALUE"""),4.3)</f>
        <v>4.3</v>
      </c>
      <c r="I13" s="1">
        <f>IFERROR(__xludf.DUMMYFUNCTION("""COMPUTED_VALUE"""),4.5)</f>
        <v>4.5</v>
      </c>
      <c r="J13" s="4">
        <f>IFERROR(__xludf.DUMMYFUNCTION("""COMPUTED_VALUE"""),0.1)</f>
        <v>0.1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1" t="s">
        <v>50</v>
      </c>
      <c r="AA13" s="1">
        <v>60299.0</v>
      </c>
    </row>
    <row r="14">
      <c r="A14" s="1">
        <v>13.0</v>
      </c>
      <c r="B14" s="2" t="s">
        <v>51</v>
      </c>
      <c r="C14" s="3">
        <f>IFERROR(__xludf.DUMMYFUNCTION("""COMPUTED_VALUE"""),4.073333333333333)</f>
        <v>4.073333333</v>
      </c>
      <c r="D14" s="4">
        <f>IFERROR(__xludf.DUMMYFUNCTION("""COMPUTED_VALUE"""),0.020000000000000004)</f>
        <v>0.02</v>
      </c>
      <c r="E14" s="3">
        <f>IFERROR(__xludf.DUMMYFUNCTION("""COMPUTED_VALUE"""),2.2)</f>
        <v>2.2</v>
      </c>
      <c r="F14" s="4">
        <f>IFERROR(__xludf.DUMMYFUNCTION("""COMPUTED_VALUE"""),2.1)</f>
        <v>2.1</v>
      </c>
      <c r="G14" s="1">
        <f>IFERROR(__xludf.DUMMYFUNCTION("""COMPUTED_VALUE"""),4.5)</f>
        <v>4.5</v>
      </c>
      <c r="H14" s="1">
        <f>IFERROR(__xludf.DUMMYFUNCTION("""COMPUTED_VALUE"""),4.1)</f>
        <v>4.1</v>
      </c>
      <c r="I14" s="1">
        <f>IFERROR(__xludf.DUMMYFUNCTION("""COMPUTED_VALUE"""),0.0)</f>
        <v>0</v>
      </c>
      <c r="J14" s="4">
        <f>IFERROR(__xludf.DUMMYFUNCTION("""COMPUTED_VALUE"""),0.1)</f>
        <v>0.1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1" t="s">
        <v>52</v>
      </c>
      <c r="AA14" s="1">
        <v>60299.0</v>
      </c>
    </row>
    <row r="15">
      <c r="A15" s="1">
        <v>14.0</v>
      </c>
      <c r="B15" s="2" t="s">
        <v>53</v>
      </c>
      <c r="C15" s="3">
        <f>IFERROR(__xludf.DUMMYFUNCTION("""COMPUTED_VALUE"""),3.3133333333333335)</f>
        <v>3.313333333</v>
      </c>
      <c r="D15" s="4">
        <f>IFERROR(__xludf.DUMMYFUNCTION("""COMPUTED_VALUE"""),0.020000000000000004)</f>
        <v>0.02</v>
      </c>
      <c r="E15" s="3">
        <f>IFERROR(__xludf.DUMMYFUNCTION("""COMPUTED_VALUE"""),3.5)</f>
        <v>3.5</v>
      </c>
      <c r="F15" s="4">
        <f>IFERROR(__xludf.DUMMYFUNCTION("""COMPUTED_VALUE"""),2.2)</f>
        <v>2.2</v>
      </c>
      <c r="G15" s="1">
        <f>IFERROR(__xludf.DUMMYFUNCTION("""COMPUTED_VALUE"""),4.5)</f>
        <v>4.5</v>
      </c>
      <c r="H15" s="1">
        <f>IFERROR(__xludf.DUMMYFUNCTION("""COMPUTED_VALUE"""),4.9)</f>
        <v>4.9</v>
      </c>
      <c r="I15" s="1">
        <f>IFERROR(__xludf.DUMMYFUNCTION("""COMPUTED_VALUE"""),4.3)</f>
        <v>4.3</v>
      </c>
      <c r="J15" s="4">
        <f>IFERROR(__xludf.DUMMYFUNCTION("""COMPUTED_VALUE"""),0.1)</f>
        <v>0.1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1" t="s">
        <v>54</v>
      </c>
      <c r="AA15" s="1">
        <v>60299.0</v>
      </c>
    </row>
    <row r="16">
      <c r="A16" s="1">
        <v>15.0</v>
      </c>
      <c r="B16" s="2" t="s">
        <v>55</v>
      </c>
      <c r="C16" s="3">
        <f>IFERROR(__xludf.DUMMYFUNCTION("""COMPUTED_VALUE"""),4.486666666666666)</f>
        <v>4.486666667</v>
      </c>
      <c r="D16" s="4">
        <f>IFERROR(__xludf.DUMMYFUNCTION("""COMPUTED_VALUE"""),0.020000000000000004)</f>
        <v>0.02</v>
      </c>
      <c r="E16" s="3">
        <f>IFERROR(__xludf.DUMMYFUNCTION("""COMPUTED_VALUE"""),3.7)</f>
        <v>3.7</v>
      </c>
      <c r="F16" s="4">
        <f>IFERROR(__xludf.DUMMYFUNCTION("""COMPUTED_VALUE"""),2.7)</f>
        <v>2.7</v>
      </c>
      <c r="G16" s="1">
        <f>IFERROR(__xludf.DUMMYFUNCTION("""COMPUTED_VALUE"""),5.0)</f>
        <v>5</v>
      </c>
      <c r="H16" s="1">
        <f>IFERROR(__xludf.DUMMYFUNCTION("""COMPUTED_VALUE"""),5.0)</f>
        <v>5</v>
      </c>
      <c r="I16" s="1">
        <f>IFERROR(__xludf.DUMMYFUNCTION("""COMPUTED_VALUE"""),4.8)</f>
        <v>4.8</v>
      </c>
      <c r="J16" s="4">
        <f>IFERROR(__xludf.DUMMYFUNCTION("""COMPUTED_VALUE"""),0.1)</f>
        <v>0.1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1" t="s">
        <v>56</v>
      </c>
      <c r="AA16" s="1">
        <v>60299.0</v>
      </c>
    </row>
    <row r="17">
      <c r="A17" s="1">
        <v>16.0</v>
      </c>
      <c r="B17" s="2" t="s">
        <v>57</v>
      </c>
      <c r="C17" s="3">
        <f>IFERROR(__xludf.DUMMYFUNCTION("""COMPUTED_VALUE"""),4.306666666666667)</f>
        <v>4.306666667</v>
      </c>
      <c r="D17" s="4">
        <f>IFERROR(__xludf.DUMMYFUNCTION("""COMPUTED_VALUE"""),0.020000000000000004)</f>
        <v>0.02</v>
      </c>
      <c r="E17" s="3">
        <f>IFERROR(__xludf.DUMMYFUNCTION("""COMPUTED_VALUE"""),1.9)</f>
        <v>1.9</v>
      </c>
      <c r="F17" s="4">
        <f>IFERROR(__xludf.DUMMYFUNCTION("""COMPUTED_VALUE"""),2.1)</f>
        <v>2.1</v>
      </c>
      <c r="G17" s="1">
        <f>IFERROR(__xludf.DUMMYFUNCTION("""COMPUTED_VALUE"""),2.8)</f>
        <v>2.8</v>
      </c>
      <c r="H17" s="1">
        <f>IFERROR(__xludf.DUMMYFUNCTION("""COMPUTED_VALUE"""),0.0)</f>
        <v>0</v>
      </c>
      <c r="I17" s="1">
        <f>IFERROR(__xludf.DUMMYFUNCTION("""COMPUTED_VALUE"""),4.8)</f>
        <v>4.8</v>
      </c>
      <c r="J17" s="4">
        <f>IFERROR(__xludf.DUMMYFUNCTION("""COMPUTED_VALUE"""),0.1)</f>
        <v>0.1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1" t="s">
        <v>58</v>
      </c>
      <c r="AA17" s="1">
        <v>60299.0</v>
      </c>
    </row>
    <row r="18">
      <c r="A18" s="1">
        <v>17.0</v>
      </c>
      <c r="B18" s="2" t="s">
        <v>59</v>
      </c>
      <c r="C18" s="3">
        <f>IFERROR(__xludf.DUMMYFUNCTION("""COMPUTED_VALUE"""),5.0)</f>
        <v>5</v>
      </c>
      <c r="D18" s="4">
        <f>IFERROR(__xludf.DUMMYFUNCTION("""COMPUTED_VALUE"""),0.020000000000000004)</f>
        <v>0.02</v>
      </c>
      <c r="E18" s="3">
        <f>IFERROR(__xludf.DUMMYFUNCTION("""COMPUTED_VALUE"""),2.3)</f>
        <v>2.3</v>
      </c>
      <c r="F18" s="4">
        <f>IFERROR(__xludf.DUMMYFUNCTION("""COMPUTED_VALUE"""),2.4)</f>
        <v>2.4</v>
      </c>
      <c r="G18" s="1">
        <f>IFERROR(__xludf.DUMMYFUNCTION("""COMPUTED_VALUE"""),4.7)</f>
        <v>4.7</v>
      </c>
      <c r="H18" s="1">
        <f>IFERROR(__xludf.DUMMYFUNCTION("""COMPUTED_VALUE"""),4.3)</f>
        <v>4.3</v>
      </c>
      <c r="I18" s="1">
        <f>IFERROR(__xludf.DUMMYFUNCTION("""COMPUTED_VALUE"""),0.0)</f>
        <v>0</v>
      </c>
      <c r="J18" s="4">
        <f>IFERROR(__xludf.DUMMYFUNCTION("""COMPUTED_VALUE"""),0.1)</f>
        <v>0.1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1" t="s">
        <v>60</v>
      </c>
      <c r="AA18" s="1">
        <v>60299.0</v>
      </c>
    </row>
    <row r="19">
      <c r="A19" s="1">
        <v>18.0</v>
      </c>
      <c r="B19" s="2" t="s">
        <v>61</v>
      </c>
      <c r="C19" s="3">
        <f>IFERROR(__xludf.DUMMYFUNCTION("""COMPUTED_VALUE"""),2.64)</f>
        <v>2.64</v>
      </c>
      <c r="D19" s="4">
        <f>IFERROR(__xludf.DUMMYFUNCTION("""COMPUTED_VALUE"""),0.020000000000000004)</f>
        <v>0.02</v>
      </c>
      <c r="E19" s="3">
        <f>IFERROR(__xludf.DUMMYFUNCTION("""COMPUTED_VALUE"""),3.2)</f>
        <v>3.2</v>
      </c>
      <c r="F19" s="4">
        <f>IFERROR(__xludf.DUMMYFUNCTION("""COMPUTED_VALUE"""),1.9)</f>
        <v>1.9</v>
      </c>
      <c r="G19" s="1">
        <f>IFERROR(__xludf.DUMMYFUNCTION("""COMPUTED_VALUE"""),3.0)</f>
        <v>3</v>
      </c>
      <c r="H19" s="1">
        <f>IFERROR(__xludf.DUMMYFUNCTION("""COMPUTED_VALUE"""),4.8)</f>
        <v>4.8</v>
      </c>
      <c r="I19" s="1">
        <f>IFERROR(__xludf.DUMMYFUNCTION("""COMPUTED_VALUE"""),4.8)</f>
        <v>4.8</v>
      </c>
      <c r="J19" s="4">
        <f>IFERROR(__xludf.DUMMYFUNCTION("""COMPUTED_VALUE"""),0.1)</f>
        <v>0.1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1" t="s">
        <v>62</v>
      </c>
      <c r="AA19" s="1">
        <v>60299.0</v>
      </c>
    </row>
    <row r="20">
      <c r="A20" s="1">
        <v>19.0</v>
      </c>
      <c r="B20" s="2" t="s">
        <v>63</v>
      </c>
      <c r="C20" s="3">
        <f>IFERROR(__xludf.DUMMYFUNCTION("""COMPUTED_VALUE"""),4.3)</f>
        <v>4.3</v>
      </c>
      <c r="D20" s="4">
        <f>IFERROR(__xludf.DUMMYFUNCTION("""COMPUTED_VALUE"""),0.020000000000000004)</f>
        <v>0.02</v>
      </c>
      <c r="E20" s="3">
        <f>IFERROR(__xludf.DUMMYFUNCTION("""COMPUTED_VALUE"""),1.9)</f>
        <v>1.9</v>
      </c>
      <c r="F20" s="4">
        <f>IFERROR(__xludf.DUMMYFUNCTION("""COMPUTED_VALUE"""),2.1)</f>
        <v>2.1</v>
      </c>
      <c r="G20" s="1">
        <f>IFERROR(__xludf.DUMMYFUNCTION("""COMPUTED_VALUE"""),0.0)</f>
        <v>0</v>
      </c>
      <c r="H20" s="1">
        <f>IFERROR(__xludf.DUMMYFUNCTION("""COMPUTED_VALUE"""),3.6)</f>
        <v>3.6</v>
      </c>
      <c r="I20" s="1">
        <f>IFERROR(__xludf.DUMMYFUNCTION("""COMPUTED_VALUE"""),3.9)</f>
        <v>3.9</v>
      </c>
      <c r="J20" s="4">
        <f>IFERROR(__xludf.DUMMYFUNCTION("""COMPUTED_VALUE"""),0.1)</f>
        <v>0.1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1" t="s">
        <v>64</v>
      </c>
      <c r="AA20" s="1">
        <v>60299.0</v>
      </c>
    </row>
    <row r="21">
      <c r="A21" s="1">
        <v>20.0</v>
      </c>
      <c r="B21" s="2" t="s">
        <v>65</v>
      </c>
      <c r="C21" s="3">
        <f>IFERROR(__xludf.DUMMYFUNCTION("""COMPUTED_VALUE"""),4.62)</f>
        <v>4.62</v>
      </c>
      <c r="D21" s="4">
        <f>IFERROR(__xludf.DUMMYFUNCTION("""COMPUTED_VALUE"""),0.020000000000000004)</f>
        <v>0.02</v>
      </c>
      <c r="E21" s="3">
        <f>IFERROR(__xludf.DUMMYFUNCTION("""COMPUTED_VALUE"""),1.2)</f>
        <v>1.2</v>
      </c>
      <c r="F21" s="4">
        <f>IFERROR(__xludf.DUMMYFUNCTION("""COMPUTED_VALUE"""),2.0)</f>
        <v>2</v>
      </c>
      <c r="G21" s="1">
        <f>IFERROR(__xludf.DUMMYFUNCTION("""COMPUTED_VALUE"""),0.0)</f>
        <v>0</v>
      </c>
      <c r="H21" s="1">
        <f>IFERROR(__xludf.DUMMYFUNCTION("""COMPUTED_VALUE"""),0.0)</f>
        <v>0</v>
      </c>
      <c r="I21" s="1">
        <f>IFERROR(__xludf.DUMMYFUNCTION("""COMPUTED_VALUE"""),4.8)</f>
        <v>4.8</v>
      </c>
      <c r="J21" s="4">
        <f>IFERROR(__xludf.DUMMYFUNCTION("""COMPUTED_VALUE"""),0.1)</f>
        <v>0.1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1" t="s">
        <v>66</v>
      </c>
      <c r="AA21" s="1">
        <v>60299.0</v>
      </c>
    </row>
    <row r="22">
      <c r="A22" s="1">
        <v>21.0</v>
      </c>
      <c r="B22" s="2" t="s">
        <v>67</v>
      </c>
      <c r="C22" s="3">
        <f>IFERROR(__xludf.DUMMYFUNCTION("""COMPUTED_VALUE"""),5.0)</f>
        <v>5</v>
      </c>
      <c r="D22" s="4">
        <f>IFERROR(__xludf.DUMMYFUNCTION("""COMPUTED_VALUE"""),0.020000000000000004)</f>
        <v>0.02</v>
      </c>
      <c r="E22" s="3">
        <f>IFERROR(__xludf.DUMMYFUNCTION("""COMPUTED_VALUE"""),3.5)</f>
        <v>3.5</v>
      </c>
      <c r="F22" s="4">
        <f>IFERROR(__xludf.DUMMYFUNCTION("""COMPUTED_VALUE"""),2.8)</f>
        <v>2.8</v>
      </c>
      <c r="G22" s="1">
        <f>IFERROR(__xludf.DUMMYFUNCTION("""COMPUTED_VALUE"""),3.8)</f>
        <v>3.8</v>
      </c>
      <c r="H22" s="1">
        <f>IFERROR(__xludf.DUMMYFUNCTION("""COMPUTED_VALUE"""),5.0)</f>
        <v>5</v>
      </c>
      <c r="I22" s="1">
        <f>IFERROR(__xludf.DUMMYFUNCTION("""COMPUTED_VALUE"""),5.0)</f>
        <v>5</v>
      </c>
      <c r="J22" s="4">
        <f>IFERROR(__xludf.DUMMYFUNCTION("""COMPUTED_VALUE"""),0.1)</f>
        <v>0.1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1" t="s">
        <v>68</v>
      </c>
      <c r="AA22" s="1">
        <v>60299.0</v>
      </c>
    </row>
    <row r="23">
      <c r="A23" s="1">
        <v>22.0</v>
      </c>
      <c r="B23" s="2" t="s">
        <v>69</v>
      </c>
      <c r="C23" s="3">
        <f>IFERROR(__xludf.DUMMYFUNCTION("""COMPUTED_VALUE"""),3.8466666666666667)</f>
        <v>3.846666667</v>
      </c>
      <c r="D23" s="4">
        <f>IFERROR(__xludf.DUMMYFUNCTION("""COMPUTED_VALUE"""),0.020000000000000004)</f>
        <v>0.02</v>
      </c>
      <c r="E23" s="3">
        <f>IFERROR(__xludf.DUMMYFUNCTION("""COMPUTED_VALUE"""),2.5)</f>
        <v>2.5</v>
      </c>
      <c r="F23" s="4">
        <f>IFERROR(__xludf.DUMMYFUNCTION("""COMPUTED_VALUE"""),2.1)</f>
        <v>2.1</v>
      </c>
      <c r="G23" s="1">
        <f>IFERROR(__xludf.DUMMYFUNCTION("""COMPUTED_VALUE"""),4.8)</f>
        <v>4.8</v>
      </c>
      <c r="H23" s="1">
        <f>IFERROR(__xludf.DUMMYFUNCTION("""COMPUTED_VALUE"""),4.9)</f>
        <v>4.9</v>
      </c>
      <c r="I23" s="1">
        <f>IFERROR(__xludf.DUMMYFUNCTION("""COMPUTED_VALUE"""),0.0)</f>
        <v>0</v>
      </c>
      <c r="J23" s="4">
        <f>IFERROR(__xludf.DUMMYFUNCTION("""COMPUTED_VALUE"""),0.1)</f>
        <v>0.1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1" t="s">
        <v>70</v>
      </c>
      <c r="AA23" s="1">
        <v>60299.0</v>
      </c>
    </row>
    <row r="24">
      <c r="A24" s="1">
        <v>23.0</v>
      </c>
      <c r="B24" s="2" t="s">
        <v>71</v>
      </c>
      <c r="C24" s="3">
        <f>IFERROR(__xludf.DUMMYFUNCTION("""COMPUTED_VALUE"""),5.0)</f>
        <v>5</v>
      </c>
      <c r="D24" s="4">
        <f>IFERROR(__xludf.DUMMYFUNCTION("""COMPUTED_VALUE"""),0.020000000000000004)</f>
        <v>0.02</v>
      </c>
      <c r="E24" s="3">
        <f>IFERROR(__xludf.DUMMYFUNCTION("""COMPUTED_VALUE"""),1.3)</f>
        <v>1.3</v>
      </c>
      <c r="F24" s="4">
        <f>IFERROR(__xludf.DUMMYFUNCTION("""COMPUTED_VALUE"""),2.1)</f>
        <v>2.1</v>
      </c>
      <c r="G24" s="1">
        <f>IFERROR(__xludf.DUMMYFUNCTION("""COMPUTED_VALUE"""),5.0)</f>
        <v>5</v>
      </c>
      <c r="H24" s="1">
        <f>IFERROR(__xludf.DUMMYFUNCTION("""COMPUTED_VALUE"""),0.0)</f>
        <v>0</v>
      </c>
      <c r="I24" s="1">
        <f>IFERROR(__xludf.DUMMYFUNCTION("""COMPUTED_VALUE"""),0.0)</f>
        <v>0</v>
      </c>
      <c r="J24" s="4">
        <f>IFERROR(__xludf.DUMMYFUNCTION("""COMPUTED_VALUE"""),0.1)</f>
        <v>0.1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1" t="s">
        <v>72</v>
      </c>
      <c r="AA24" s="1">
        <v>60299.0</v>
      </c>
    </row>
    <row r="25"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0"/>
    <col customWidth="1" min="2" max="2" width="31.0"/>
    <col customWidth="1" min="3" max="18" width="5.0"/>
    <col customWidth="1" min="19" max="19" width="5.75"/>
    <col customWidth="1" min="20" max="25" width="5.0"/>
    <col customWidth="1" min="26" max="26" width="9.75"/>
    <col customWidth="1" min="27" max="27" width="6.63"/>
  </cols>
  <sheetData>
    <row r="1">
      <c r="A1" s="6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73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6" t="s">
        <v>25</v>
      </c>
      <c r="AA1" s="6" t="s">
        <v>26</v>
      </c>
    </row>
    <row r="2">
      <c r="A2" s="6">
        <v>1.0</v>
      </c>
      <c r="B2" s="6" t="s">
        <v>74</v>
      </c>
      <c r="C2" s="3">
        <f>IFERROR(__xludf.DUMMYFUNCTION("IMPORTRANGE(""1vS2gE-mc1A6CX14zq-8uhU927dLafFRogBm_03E8occ"",""CDIF!C2:L24"")"),4.8)</f>
        <v>4.8</v>
      </c>
      <c r="D2" s="4">
        <f>IFERROR(__xludf.DUMMYFUNCTION("""COMPUTED_VALUE"""),0.0)</f>
        <v>0</v>
      </c>
      <c r="E2" s="3">
        <f>IFERROR(__xludf.DUMMYFUNCTION("""COMPUTED_VALUE"""),1.3157894736842106)</f>
        <v>1.315789474</v>
      </c>
      <c r="F2" s="4"/>
      <c r="G2" s="4">
        <f>IFERROR(__xludf.DUMMYFUNCTION("""COMPUTED_VALUE"""),1.7)</f>
        <v>1.7</v>
      </c>
      <c r="H2" s="1">
        <f>IFERROR(__xludf.DUMMYFUNCTION("""COMPUTED_VALUE"""),5.0)</f>
        <v>5</v>
      </c>
      <c r="I2" s="1">
        <f>IFERROR(__xludf.DUMMYFUNCTION("""COMPUTED_VALUE"""),0.0)</f>
        <v>0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6" t="s">
        <v>75</v>
      </c>
      <c r="AA2" s="6">
        <v>55581.0</v>
      </c>
    </row>
    <row r="3">
      <c r="A3" s="6">
        <v>2.0</v>
      </c>
      <c r="B3" s="6" t="s">
        <v>76</v>
      </c>
      <c r="C3" s="3">
        <f>IFERROR(__xludf.DUMMYFUNCTION("""COMPUTED_VALUE"""),1.5)</f>
        <v>1.5</v>
      </c>
      <c r="D3" s="4">
        <f>IFERROR(__xludf.DUMMYFUNCTION("""COMPUTED_VALUE"""),0.0)</f>
        <v>0</v>
      </c>
      <c r="E3" s="3">
        <f>IFERROR(__xludf.DUMMYFUNCTION("""COMPUTED_VALUE"""),0.0)</f>
        <v>0</v>
      </c>
      <c r="F3" s="4"/>
      <c r="G3" s="4">
        <f>IFERROR(__xludf.DUMMYFUNCTION("""COMPUTED_VALUE"""),0.5)</f>
        <v>0.5</v>
      </c>
      <c r="H3" s="1">
        <f>IFERROR(__xludf.DUMMYFUNCTION("""COMPUTED_VALUE"""),0.0)</f>
        <v>0</v>
      </c>
      <c r="I3" s="1">
        <f>IFERROR(__xludf.DUMMYFUNCTION("""COMPUTED_VALUE"""),0.0)</f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6" t="s">
        <v>77</v>
      </c>
      <c r="AA3" s="6">
        <v>55581.0</v>
      </c>
    </row>
    <row r="4">
      <c r="A4" s="6">
        <v>3.0</v>
      </c>
      <c r="B4" s="6" t="s">
        <v>78</v>
      </c>
      <c r="C4" s="3">
        <f>IFERROR(__xludf.DUMMYFUNCTION("""COMPUTED_VALUE"""),2.46)</f>
        <v>2.46</v>
      </c>
      <c r="D4" s="4">
        <f>IFERROR(__xludf.DUMMYFUNCTION("""COMPUTED_VALUE"""),0.0)</f>
        <v>0</v>
      </c>
      <c r="E4" s="3">
        <f>IFERROR(__xludf.DUMMYFUNCTION("""COMPUTED_VALUE"""),2.526315789473684)</f>
        <v>2.526315789</v>
      </c>
      <c r="F4" s="4"/>
      <c r="G4" s="4">
        <f>IFERROR(__xludf.DUMMYFUNCTION("""COMPUTED_VALUE"""),1.2)</f>
        <v>1.2</v>
      </c>
      <c r="H4" s="1">
        <f>IFERROR(__xludf.DUMMYFUNCTION("""COMPUTED_VALUE"""),4.6)</f>
        <v>4.6</v>
      </c>
      <c r="I4" s="1">
        <f>IFERROR(__xludf.DUMMYFUNCTION("""COMPUTED_VALUE"""),5.0)</f>
        <v>5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6" t="s">
        <v>79</v>
      </c>
      <c r="AA4" s="6">
        <v>55581.0</v>
      </c>
    </row>
    <row r="5">
      <c r="A5" s="6">
        <v>4.0</v>
      </c>
      <c r="B5" s="6" t="s">
        <v>80</v>
      </c>
      <c r="C5" s="3">
        <f>IFERROR(__xludf.DUMMYFUNCTION("""COMPUTED_VALUE"""),5.0)</f>
        <v>5</v>
      </c>
      <c r="D5" s="4">
        <f>IFERROR(__xludf.DUMMYFUNCTION("""COMPUTED_VALUE"""),0.0)</f>
        <v>0</v>
      </c>
      <c r="E5" s="3">
        <f>IFERROR(__xludf.DUMMYFUNCTION("""COMPUTED_VALUE"""),2.526315789473684)</f>
        <v>2.526315789</v>
      </c>
      <c r="F5" s="4"/>
      <c r="G5" s="4">
        <f>IFERROR(__xludf.DUMMYFUNCTION("""COMPUTED_VALUE"""),2.0)</f>
        <v>2</v>
      </c>
      <c r="H5" s="1">
        <f>IFERROR(__xludf.DUMMYFUNCTION("""COMPUTED_VALUE"""),4.6)</f>
        <v>4.6</v>
      </c>
      <c r="I5" s="1">
        <f>IFERROR(__xludf.DUMMYFUNCTION("""COMPUTED_VALUE"""),5.0)</f>
        <v>5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6" t="s">
        <v>81</v>
      </c>
      <c r="AA5" s="6">
        <v>55581.0</v>
      </c>
    </row>
    <row r="6">
      <c r="A6" s="6">
        <v>5.0</v>
      </c>
      <c r="B6" s="6" t="s">
        <v>82</v>
      </c>
      <c r="C6" s="3">
        <f>IFERROR(__xludf.DUMMYFUNCTION("""COMPUTED_VALUE"""),4.48)</f>
        <v>4.48</v>
      </c>
      <c r="D6" s="4">
        <f>IFERROR(__xludf.DUMMYFUNCTION("""COMPUTED_VALUE"""),0.0)</f>
        <v>0</v>
      </c>
      <c r="E6" s="3">
        <f>IFERROR(__xludf.DUMMYFUNCTION("""COMPUTED_VALUE"""),2.5789473684210527)</f>
        <v>2.578947368</v>
      </c>
      <c r="F6" s="4"/>
      <c r="G6" s="4">
        <f>IFERROR(__xludf.DUMMYFUNCTION("""COMPUTED_VALUE"""),1.9)</f>
        <v>1.9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6" t="s">
        <v>83</v>
      </c>
      <c r="AA6" s="6">
        <v>55581.0</v>
      </c>
    </row>
    <row r="7">
      <c r="A7" s="6">
        <v>6.0</v>
      </c>
      <c r="B7" s="6" t="s">
        <v>84</v>
      </c>
      <c r="C7" s="3">
        <f>IFERROR(__xludf.DUMMYFUNCTION("""COMPUTED_VALUE"""),3.42)</f>
        <v>3.42</v>
      </c>
      <c r="D7" s="4">
        <f>IFERROR(__xludf.DUMMYFUNCTION("""COMPUTED_VALUE"""),0.0)</f>
        <v>0</v>
      </c>
      <c r="E7" s="3">
        <f>IFERROR(__xludf.DUMMYFUNCTION("""COMPUTED_VALUE"""),2.4210526315789473)</f>
        <v>2.421052632</v>
      </c>
      <c r="F7" s="4"/>
      <c r="G7" s="4">
        <f>IFERROR(__xludf.DUMMYFUNCTION("""COMPUTED_VALUE"""),1.5)</f>
        <v>1.5</v>
      </c>
      <c r="H7" s="1">
        <f>IFERROR(__xludf.DUMMYFUNCTION("""COMPUTED_VALUE"""),4.2)</f>
        <v>4.2</v>
      </c>
      <c r="I7" s="1">
        <f>IFERROR(__xludf.DUMMYFUNCTION("""COMPUTED_VALUE"""),5.0)</f>
        <v>5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6" t="s">
        <v>85</v>
      </c>
      <c r="AA7" s="6">
        <v>55581.0</v>
      </c>
    </row>
    <row r="8">
      <c r="A8" s="6">
        <v>7.0</v>
      </c>
      <c r="B8" s="6" t="s">
        <v>86</v>
      </c>
      <c r="C8" s="3">
        <f>IFERROR(__xludf.DUMMYFUNCTION("""COMPUTED_VALUE"""),3.46)</f>
        <v>3.46</v>
      </c>
      <c r="D8" s="4">
        <f>IFERROR(__xludf.DUMMYFUNCTION("""COMPUTED_VALUE"""),0.0)</f>
        <v>0</v>
      </c>
      <c r="E8" s="3">
        <f>IFERROR(__xludf.DUMMYFUNCTION("""COMPUTED_VALUE"""),1.2105263157894737)</f>
        <v>1.210526316</v>
      </c>
      <c r="F8" s="4"/>
      <c r="G8" s="4">
        <f>IFERROR(__xludf.DUMMYFUNCTION("""COMPUTED_VALUE"""),1.3)</f>
        <v>1.3</v>
      </c>
      <c r="H8" s="1">
        <f>IFERROR(__xludf.DUMMYFUNCTION("""COMPUTED_VALUE"""),4.6)</f>
        <v>4.6</v>
      </c>
      <c r="I8" s="1">
        <f>IFERROR(__xludf.DUMMYFUNCTION("""COMPUTED_VALUE"""),0.0)</f>
        <v>0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6" t="s">
        <v>87</v>
      </c>
      <c r="AA8" s="6">
        <v>55581.0</v>
      </c>
    </row>
    <row r="9">
      <c r="A9" s="6">
        <v>8.0</v>
      </c>
      <c r="B9" s="6" t="s">
        <v>88</v>
      </c>
      <c r="C9" s="3">
        <f>IFERROR(__xludf.DUMMYFUNCTION("""COMPUTED_VALUE"""),5.0)</f>
        <v>5</v>
      </c>
      <c r="D9" s="4">
        <f>IFERROR(__xludf.DUMMYFUNCTION("""COMPUTED_VALUE"""),0.0)</f>
        <v>0</v>
      </c>
      <c r="E9" s="3">
        <f>IFERROR(__xludf.DUMMYFUNCTION("""COMPUTED_VALUE"""),2.526315789473684)</f>
        <v>2.526315789</v>
      </c>
      <c r="F9" s="4"/>
      <c r="G9" s="4">
        <f>IFERROR(__xludf.DUMMYFUNCTION("""COMPUTED_VALUE"""),2.0)</f>
        <v>2</v>
      </c>
      <c r="H9" s="1">
        <f>IFERROR(__xludf.DUMMYFUNCTION("""COMPUTED_VALUE"""),4.8)</f>
        <v>4.8</v>
      </c>
      <c r="I9" s="1">
        <f>IFERROR(__xludf.DUMMYFUNCTION("""COMPUTED_VALUE"""),4.7)</f>
        <v>4.7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6" t="s">
        <v>89</v>
      </c>
      <c r="AA9" s="6">
        <v>55581.0</v>
      </c>
    </row>
    <row r="10">
      <c r="A10" s="6">
        <v>9.0</v>
      </c>
      <c r="B10" s="6" t="s">
        <v>90</v>
      </c>
      <c r="C10" s="3">
        <f>IFERROR(__xludf.DUMMYFUNCTION("""COMPUTED_VALUE"""),1.92)</f>
        <v>1.92</v>
      </c>
      <c r="D10" s="4">
        <f>IFERROR(__xludf.DUMMYFUNCTION("""COMPUTED_VALUE"""),0.0)</f>
        <v>0</v>
      </c>
      <c r="E10" s="3">
        <f>IFERROR(__xludf.DUMMYFUNCTION("""COMPUTED_VALUE"""),2.4210526315789473)</f>
        <v>2.421052632</v>
      </c>
      <c r="F10" s="4"/>
      <c r="G10" s="4">
        <f>IFERROR(__xludf.DUMMYFUNCTION("""COMPUTED_VALUE"""),1.1)</f>
        <v>1.1</v>
      </c>
      <c r="H10" s="1">
        <f>IFERROR(__xludf.DUMMYFUNCTION("""COMPUTED_VALUE"""),4.2)</f>
        <v>4.2</v>
      </c>
      <c r="I10" s="1">
        <f>IFERROR(__xludf.DUMMYFUNCTION("""COMPUTED_VALUE"""),5.0)</f>
        <v>5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6" t="s">
        <v>91</v>
      </c>
      <c r="AA10" s="6">
        <v>55581.0</v>
      </c>
    </row>
    <row r="11">
      <c r="A11" s="6">
        <v>10.0</v>
      </c>
      <c r="B11" s="6" t="s">
        <v>92</v>
      </c>
      <c r="C11" s="3">
        <f>IFERROR(__xludf.DUMMYFUNCTION("""COMPUTED_VALUE"""),3.5700000000000003)</f>
        <v>3.57</v>
      </c>
      <c r="D11" s="4">
        <f>IFERROR(__xludf.DUMMYFUNCTION("""COMPUTED_VALUE"""),0.0)</f>
        <v>0</v>
      </c>
      <c r="E11" s="3">
        <f>IFERROR(__xludf.DUMMYFUNCTION("""COMPUTED_VALUE"""),2.5789473684210527)</f>
        <v>2.578947368</v>
      </c>
      <c r="F11" s="4"/>
      <c r="G11" s="4">
        <f>IFERROR(__xludf.DUMMYFUNCTION("""COMPUTED_VALUE"""),1.6)</f>
        <v>1.6</v>
      </c>
      <c r="H11" s="1">
        <f>IFERROR(__xludf.DUMMYFUNCTION("""COMPUTED_VALUE"""),5.0)</f>
        <v>5</v>
      </c>
      <c r="I11" s="1">
        <f>IFERROR(__xludf.DUMMYFUNCTION("""COMPUTED_VALUE"""),4.7)</f>
        <v>4.7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6" t="s">
        <v>93</v>
      </c>
      <c r="AA11" s="6">
        <v>55581.0</v>
      </c>
    </row>
    <row r="12">
      <c r="A12" s="6">
        <v>11.0</v>
      </c>
      <c r="B12" s="6" t="s">
        <v>94</v>
      </c>
      <c r="C12" s="3">
        <f>IFERROR(__xludf.DUMMYFUNCTION("""COMPUTED_VALUE"""),3.81)</f>
        <v>3.81</v>
      </c>
      <c r="D12" s="4">
        <f>IFERROR(__xludf.DUMMYFUNCTION("""COMPUTED_VALUE"""),0.0)</f>
        <v>0</v>
      </c>
      <c r="E12" s="3">
        <f>IFERROR(__xludf.DUMMYFUNCTION("""COMPUTED_VALUE"""),2.4210526315789473)</f>
        <v>2.421052632</v>
      </c>
      <c r="F12" s="4"/>
      <c r="G12" s="4">
        <f>IFERROR(__xludf.DUMMYFUNCTION("""COMPUTED_VALUE"""),1.6)</f>
        <v>1.6</v>
      </c>
      <c r="H12" s="1">
        <f>IFERROR(__xludf.DUMMYFUNCTION("""COMPUTED_VALUE"""),4.4)</f>
        <v>4.4</v>
      </c>
      <c r="I12" s="1">
        <f>IFERROR(__xludf.DUMMYFUNCTION("""COMPUTED_VALUE"""),4.7)</f>
        <v>4.7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6" t="s">
        <v>95</v>
      </c>
      <c r="AA12" s="6">
        <v>55581.0</v>
      </c>
    </row>
    <row r="13">
      <c r="A13" s="6">
        <v>12.0</v>
      </c>
      <c r="B13" s="6" t="s">
        <v>96</v>
      </c>
      <c r="C13" s="3">
        <f>IFERROR(__xludf.DUMMYFUNCTION("""COMPUTED_VALUE"""),3.45)</f>
        <v>3.45</v>
      </c>
      <c r="D13" s="4">
        <f>IFERROR(__xludf.DUMMYFUNCTION("""COMPUTED_VALUE"""),0.0)</f>
        <v>0</v>
      </c>
      <c r="E13" s="3">
        <f>IFERROR(__xludf.DUMMYFUNCTION("""COMPUTED_VALUE"""),2.526315789473684)</f>
        <v>2.526315789</v>
      </c>
      <c r="F13" s="4"/>
      <c r="G13" s="4">
        <f>IFERROR(__xludf.DUMMYFUNCTION("""COMPUTED_VALUE"""),1.5)</f>
        <v>1.5</v>
      </c>
      <c r="H13" s="1">
        <f>IFERROR(__xludf.DUMMYFUNCTION("""COMPUTED_VALUE"""),4.8)</f>
        <v>4.8</v>
      </c>
      <c r="I13" s="1">
        <f>IFERROR(__xludf.DUMMYFUNCTION("""COMPUTED_VALUE"""),4.7)</f>
        <v>4.7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6" t="s">
        <v>97</v>
      </c>
      <c r="AA13" s="6">
        <v>55581.0</v>
      </c>
    </row>
    <row r="14">
      <c r="A14" s="6">
        <v>13.0</v>
      </c>
      <c r="B14" s="6" t="s">
        <v>98</v>
      </c>
      <c r="C14" s="3">
        <f>IFERROR(__xludf.DUMMYFUNCTION("""COMPUTED_VALUE"""),2.45)</f>
        <v>2.45</v>
      </c>
      <c r="D14" s="4">
        <f>IFERROR(__xludf.DUMMYFUNCTION("""COMPUTED_VALUE"""),0.0)</f>
        <v>0</v>
      </c>
      <c r="E14" s="3">
        <f>IFERROR(__xludf.DUMMYFUNCTION("""COMPUTED_VALUE"""),2.526315789473684)</f>
        <v>2.526315789</v>
      </c>
      <c r="F14" s="4"/>
      <c r="G14" s="4">
        <f>IFERROR(__xludf.DUMMYFUNCTION("""COMPUTED_VALUE"""),1.2)</f>
        <v>1.2</v>
      </c>
      <c r="H14" s="1">
        <f>IFERROR(__xludf.DUMMYFUNCTION("""COMPUTED_VALUE"""),4.8)</f>
        <v>4.8</v>
      </c>
      <c r="I14" s="1">
        <f>IFERROR(__xludf.DUMMYFUNCTION("""COMPUTED_VALUE"""),4.7)</f>
        <v>4.7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6" t="s">
        <v>99</v>
      </c>
      <c r="AA14" s="6">
        <v>55581.0</v>
      </c>
    </row>
    <row r="15">
      <c r="A15" s="6">
        <v>14.0</v>
      </c>
      <c r="B15" s="6" t="s">
        <v>100</v>
      </c>
      <c r="C15" s="3">
        <f>IFERROR(__xludf.DUMMYFUNCTION("""COMPUTED_VALUE"""),3.54)</f>
        <v>3.54</v>
      </c>
      <c r="D15" s="4">
        <f>IFERROR(__xludf.DUMMYFUNCTION("""COMPUTED_VALUE"""),0.0)</f>
        <v>0</v>
      </c>
      <c r="E15" s="3">
        <f>IFERROR(__xludf.DUMMYFUNCTION("""COMPUTED_VALUE"""),2.473684210526316)</f>
        <v>2.473684211</v>
      </c>
      <c r="F15" s="4"/>
      <c r="G15" s="4">
        <f>IFERROR(__xludf.DUMMYFUNCTION("""COMPUTED_VALUE"""),1.6)</f>
        <v>1.6</v>
      </c>
      <c r="H15" s="1">
        <f>IFERROR(__xludf.DUMMYFUNCTION("""COMPUTED_VALUE"""),4.4)</f>
        <v>4.4</v>
      </c>
      <c r="I15" s="1">
        <f>IFERROR(__xludf.DUMMYFUNCTION("""COMPUTED_VALUE"""),5.0)</f>
        <v>5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6" t="s">
        <v>101</v>
      </c>
      <c r="AA15" s="6">
        <v>55581.0</v>
      </c>
    </row>
    <row r="16">
      <c r="A16" s="6">
        <v>15.0</v>
      </c>
      <c r="B16" s="6" t="s">
        <v>102</v>
      </c>
      <c r="C16" s="3">
        <f>IFERROR(__xludf.DUMMYFUNCTION("""COMPUTED_VALUE"""),4.39)</f>
        <v>4.39</v>
      </c>
      <c r="D16" s="4">
        <f>IFERROR(__xludf.DUMMYFUNCTION("""COMPUTED_VALUE"""),0.0)</f>
        <v>0</v>
      </c>
      <c r="E16" s="3">
        <f>IFERROR(__xludf.DUMMYFUNCTION("""COMPUTED_VALUE"""),2.3684210526315788)</f>
        <v>2.368421053</v>
      </c>
      <c r="F16" s="4"/>
      <c r="G16" s="4">
        <f>IFERROR(__xludf.DUMMYFUNCTION("""COMPUTED_VALUE"""),1.8)</f>
        <v>1.8</v>
      </c>
      <c r="H16" s="1">
        <f>IFERROR(__xludf.DUMMYFUNCTION("""COMPUTED_VALUE"""),4.8)</f>
        <v>4.8</v>
      </c>
      <c r="I16" s="1">
        <f>IFERROR(__xludf.DUMMYFUNCTION("""COMPUTED_VALUE"""),4.1)</f>
        <v>4.1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6" t="s">
        <v>103</v>
      </c>
      <c r="AA16" s="6">
        <v>55581.0</v>
      </c>
    </row>
    <row r="17">
      <c r="A17" s="6">
        <v>16.0</v>
      </c>
      <c r="B17" s="6" t="s">
        <v>104</v>
      </c>
      <c r="C17" s="3">
        <f>IFERROR(__xludf.DUMMYFUNCTION("""COMPUTED_VALUE"""),2.0300000000000002)</f>
        <v>2.03</v>
      </c>
      <c r="D17" s="4">
        <f>IFERROR(__xludf.DUMMYFUNCTION("""COMPUTED_VALUE"""),0.0)</f>
        <v>0</v>
      </c>
      <c r="E17" s="3">
        <f>IFERROR(__xludf.DUMMYFUNCTION("""COMPUTED_VALUE"""),1.1578947368421053)</f>
        <v>1.157894737</v>
      </c>
      <c r="F17" s="4"/>
      <c r="G17" s="4">
        <f>IFERROR(__xludf.DUMMYFUNCTION("""COMPUTED_VALUE"""),0.8)</f>
        <v>0.8</v>
      </c>
      <c r="H17" s="1">
        <f>IFERROR(__xludf.DUMMYFUNCTION("""COMPUTED_VALUE"""),4.3)</f>
        <v>4.3</v>
      </c>
      <c r="I17" s="1">
        <f>IFERROR(__xludf.DUMMYFUNCTION("""COMPUTED_VALUE"""),0.0)</f>
        <v>0</v>
      </c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6" t="s">
        <v>105</v>
      </c>
      <c r="AA17" s="6">
        <v>55581.0</v>
      </c>
    </row>
    <row r="18">
      <c r="A18" s="6">
        <v>17.0</v>
      </c>
      <c r="B18" s="6" t="s">
        <v>106</v>
      </c>
      <c r="C18" s="3">
        <f>IFERROR(__xludf.DUMMYFUNCTION("""COMPUTED_VALUE"""),2.02)</f>
        <v>2.02</v>
      </c>
      <c r="D18" s="4">
        <f>IFERROR(__xludf.DUMMYFUNCTION("""COMPUTED_VALUE"""),0.0)</f>
        <v>0</v>
      </c>
      <c r="E18" s="3">
        <f>IFERROR(__xludf.DUMMYFUNCTION("""COMPUTED_VALUE"""),0.05263157894736842)</f>
        <v>0.05263157895</v>
      </c>
      <c r="F18" s="4"/>
      <c r="G18" s="4">
        <f>IFERROR(__xludf.DUMMYFUNCTION("""COMPUTED_VALUE"""),0.6)</f>
        <v>0.6</v>
      </c>
      <c r="H18" s="1">
        <f>IFERROR(__xludf.DUMMYFUNCTION("""COMPUTED_VALUE"""),0.2)</f>
        <v>0.2</v>
      </c>
      <c r="I18" s="1">
        <f>IFERROR(__xludf.DUMMYFUNCTION("""COMPUTED_VALUE"""),0.0)</f>
        <v>0</v>
      </c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6" t="s">
        <v>107</v>
      </c>
      <c r="AA18" s="6">
        <v>55581.0</v>
      </c>
    </row>
    <row r="19">
      <c r="A19" s="6">
        <v>18.0</v>
      </c>
      <c r="B19" s="6" t="s">
        <v>108</v>
      </c>
      <c r="C19" s="3">
        <f>IFERROR(__xludf.DUMMYFUNCTION("""COMPUTED_VALUE"""),5.0)</f>
        <v>5</v>
      </c>
      <c r="D19" s="4">
        <f>IFERROR(__xludf.DUMMYFUNCTION("""COMPUTED_VALUE"""),0.0)</f>
        <v>0</v>
      </c>
      <c r="E19" s="3">
        <f>IFERROR(__xludf.DUMMYFUNCTION("""COMPUTED_VALUE"""),2.473684210526316)</f>
        <v>2.473684211</v>
      </c>
      <c r="F19" s="4"/>
      <c r="G19" s="4">
        <f>IFERROR(__xludf.DUMMYFUNCTION("""COMPUTED_VALUE"""),2.0)</f>
        <v>2</v>
      </c>
      <c r="H19" s="1">
        <f>IFERROR(__xludf.DUMMYFUNCTION("""COMPUTED_VALUE"""),5.0)</f>
        <v>5</v>
      </c>
      <c r="I19" s="1">
        <f>IFERROR(__xludf.DUMMYFUNCTION("""COMPUTED_VALUE"""),4.4)</f>
        <v>4.4</v>
      </c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6" t="s">
        <v>109</v>
      </c>
      <c r="AA19" s="6">
        <v>55581.0</v>
      </c>
    </row>
    <row r="20">
      <c r="A20" s="6">
        <v>19.0</v>
      </c>
      <c r="B20" s="6" t="s">
        <v>110</v>
      </c>
      <c r="C20" s="3">
        <f>IFERROR(__xludf.DUMMYFUNCTION("""COMPUTED_VALUE"""),4.35)</f>
        <v>4.35</v>
      </c>
      <c r="D20" s="4">
        <f>IFERROR(__xludf.DUMMYFUNCTION("""COMPUTED_VALUE"""),0.0)</f>
        <v>0</v>
      </c>
      <c r="E20" s="3">
        <f>IFERROR(__xludf.DUMMYFUNCTION("""COMPUTED_VALUE"""),2.526315789473684)</f>
        <v>2.526315789</v>
      </c>
      <c r="F20" s="4"/>
      <c r="G20" s="4">
        <f>IFERROR(__xludf.DUMMYFUNCTION("""COMPUTED_VALUE"""),1.8)</f>
        <v>1.8</v>
      </c>
      <c r="H20" s="1">
        <f>IFERROR(__xludf.DUMMYFUNCTION("""COMPUTED_VALUE"""),4.8)</f>
        <v>4.8</v>
      </c>
      <c r="I20" s="1">
        <f>IFERROR(__xludf.DUMMYFUNCTION("""COMPUTED_VALUE"""),4.7)</f>
        <v>4.7</v>
      </c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6" t="s">
        <v>111</v>
      </c>
      <c r="AA20" s="6">
        <v>55581.0</v>
      </c>
    </row>
    <row r="21">
      <c r="A21" s="6">
        <v>20.0</v>
      </c>
      <c r="B21" s="6" t="s">
        <v>112</v>
      </c>
      <c r="C21" s="3">
        <f>IFERROR(__xludf.DUMMYFUNCTION("""COMPUTED_VALUE"""),4.9)</f>
        <v>4.9</v>
      </c>
      <c r="D21" s="4">
        <f>IFERROR(__xludf.DUMMYFUNCTION("""COMPUTED_VALUE"""),0.0)</f>
        <v>0</v>
      </c>
      <c r="E21" s="3">
        <f>IFERROR(__xludf.DUMMYFUNCTION("""COMPUTED_VALUE"""),2.3684210526315788)</f>
        <v>2.368421053</v>
      </c>
      <c r="F21" s="4"/>
      <c r="G21" s="4">
        <f>IFERROR(__xludf.DUMMYFUNCTION("""COMPUTED_VALUE"""),1.9)</f>
        <v>1.9</v>
      </c>
      <c r="H21" s="1">
        <f>IFERROR(__xludf.DUMMYFUNCTION("""COMPUTED_VALUE"""),4.6)</f>
        <v>4.6</v>
      </c>
      <c r="I21" s="1">
        <f>IFERROR(__xludf.DUMMYFUNCTION("""COMPUTED_VALUE"""),4.4)</f>
        <v>4.4</v>
      </c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6" t="s">
        <v>113</v>
      </c>
      <c r="AA21" s="6">
        <v>55581.0</v>
      </c>
    </row>
    <row r="22"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C23" s="7"/>
      <c r="D23" s="7"/>
      <c r="E23" s="7"/>
      <c r="F23" s="7"/>
      <c r="G23" s="7"/>
      <c r="H23" s="7"/>
      <c r="I23" s="7"/>
      <c r="J23" s="7"/>
      <c r="K23" s="7"/>
      <c r="L23" s="7"/>
    </row>
    <row r="24">
      <c r="C24" s="7"/>
      <c r="D24" s="7"/>
      <c r="E24" s="7"/>
      <c r="F24" s="7"/>
      <c r="G24" s="7"/>
      <c r="H24" s="7"/>
      <c r="I24" s="7"/>
      <c r="J24" s="7"/>
      <c r="K24" s="7"/>
      <c r="L24" s="7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25"/>
    <col customWidth="1" min="2" max="2" width="30.38"/>
    <col customWidth="1" min="3" max="25" width="5.25"/>
    <col customWidth="1" min="26" max="26" width="9.5"/>
    <col customWidth="1" min="27" max="27" width="6.75"/>
  </cols>
  <sheetData>
    <row r="1">
      <c r="A1" s="6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6" t="s">
        <v>25</v>
      </c>
      <c r="AA1" s="6" t="s">
        <v>26</v>
      </c>
    </row>
    <row r="2">
      <c r="A2" s="6">
        <v>1.0</v>
      </c>
      <c r="B2" s="6" t="s">
        <v>114</v>
      </c>
      <c r="C2" s="3">
        <f>IFERROR(__xludf.DUMMYFUNCTION("IMPORTRANGE(""1vS2gE-mc1A6CX14zq-8uhU927dLafFRogBm_03E8occ"",""MAT2_B!C2:L26"")"),2.4266666666666667)</f>
        <v>2.426666667</v>
      </c>
      <c r="D2" s="4">
        <f>IFERROR(__xludf.DUMMYFUNCTION("""COMPUTED_VALUE"""),0.020000000000000004)</f>
        <v>0.02</v>
      </c>
      <c r="E2" s="3">
        <f>IFERROR(__xludf.DUMMYFUNCTION("""COMPUTED_VALUE"""),3.5)</f>
        <v>3.5</v>
      </c>
      <c r="F2" s="4">
        <f>IFERROR(__xludf.DUMMYFUNCTION("""COMPUTED_VALUE"""),1.9)</f>
        <v>1.9</v>
      </c>
      <c r="G2" s="1">
        <f>IFERROR(__xludf.DUMMYFUNCTION("""COMPUTED_VALUE"""),4.8)</f>
        <v>4.8</v>
      </c>
      <c r="H2" s="1">
        <f>IFERROR(__xludf.DUMMYFUNCTION("""COMPUTED_VALUE"""),4.9)</f>
        <v>4.9</v>
      </c>
      <c r="I2" s="1">
        <f>IFERROR(__xludf.DUMMYFUNCTION("""COMPUTED_VALUE"""),4.2)</f>
        <v>4.2</v>
      </c>
      <c r="J2" s="4">
        <f>IFERROR(__xludf.DUMMYFUNCTION("""COMPUTED_VALUE"""),0.1)</f>
        <v>0.1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6" t="s">
        <v>115</v>
      </c>
      <c r="AA2" s="6">
        <v>55546.0</v>
      </c>
    </row>
    <row r="3">
      <c r="A3" s="6">
        <v>2.0</v>
      </c>
      <c r="B3" s="6" t="s">
        <v>116</v>
      </c>
      <c r="C3" s="3">
        <f>IFERROR(__xludf.DUMMYFUNCTION("""COMPUTED_VALUE"""),3.42)</f>
        <v>3.42</v>
      </c>
      <c r="D3" s="4">
        <f>IFERROR(__xludf.DUMMYFUNCTION("""COMPUTED_VALUE"""),0.020000000000000004)</f>
        <v>0.02</v>
      </c>
      <c r="E3" s="3">
        <f>IFERROR(__xludf.DUMMYFUNCTION("""COMPUTED_VALUE"""),3.5)</f>
        <v>3.5</v>
      </c>
      <c r="F3" s="4">
        <f>IFERROR(__xludf.DUMMYFUNCTION("""COMPUTED_VALUE"""),2.3)</f>
        <v>2.3</v>
      </c>
      <c r="G3" s="1">
        <f>IFERROR(__xludf.DUMMYFUNCTION("""COMPUTED_VALUE"""),4.5)</f>
        <v>4.5</v>
      </c>
      <c r="H3" s="1">
        <f>IFERROR(__xludf.DUMMYFUNCTION("""COMPUTED_VALUE"""),4.8)</f>
        <v>4.8</v>
      </c>
      <c r="I3" s="1">
        <f>IFERROR(__xludf.DUMMYFUNCTION("""COMPUTED_VALUE"""),4.5)</f>
        <v>4.5</v>
      </c>
      <c r="J3" s="4">
        <f>IFERROR(__xludf.DUMMYFUNCTION("""COMPUTED_VALUE"""),0.1)</f>
        <v>0.1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6" t="s">
        <v>117</v>
      </c>
      <c r="AA3" s="6">
        <v>55546.0</v>
      </c>
    </row>
    <row r="4">
      <c r="A4" s="6">
        <v>3.0</v>
      </c>
      <c r="B4" s="6" t="s">
        <v>118</v>
      </c>
      <c r="C4" s="3">
        <f>IFERROR(__xludf.DUMMYFUNCTION("""COMPUTED_VALUE"""),3.3666666666666667)</f>
        <v>3.366666667</v>
      </c>
      <c r="D4" s="4">
        <f>IFERROR(__xludf.DUMMYFUNCTION("""COMPUTED_VALUE"""),0.020000000000000004)</f>
        <v>0.02</v>
      </c>
      <c r="E4" s="3">
        <f>IFERROR(__xludf.DUMMYFUNCTION("""COMPUTED_VALUE"""),3.7)</f>
        <v>3.7</v>
      </c>
      <c r="F4" s="4">
        <f>IFERROR(__xludf.DUMMYFUNCTION("""COMPUTED_VALUE"""),2.3)</f>
        <v>2.3</v>
      </c>
      <c r="G4" s="1">
        <f>IFERROR(__xludf.DUMMYFUNCTION("""COMPUTED_VALUE"""),4.5)</f>
        <v>4.5</v>
      </c>
      <c r="H4" s="1">
        <f>IFERROR(__xludf.DUMMYFUNCTION("""COMPUTED_VALUE"""),5.0)</f>
        <v>5</v>
      </c>
      <c r="I4" s="1">
        <f>IFERROR(__xludf.DUMMYFUNCTION("""COMPUTED_VALUE"""),5.0)</f>
        <v>5</v>
      </c>
      <c r="J4" s="4">
        <f>IFERROR(__xludf.DUMMYFUNCTION("""COMPUTED_VALUE"""),0.1)</f>
        <v>0.1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6" t="s">
        <v>119</v>
      </c>
      <c r="AA4" s="6">
        <v>55546.0</v>
      </c>
    </row>
    <row r="5">
      <c r="A5" s="6">
        <v>4.0</v>
      </c>
      <c r="B5" s="6" t="s">
        <v>120</v>
      </c>
      <c r="C5" s="3">
        <f>IFERROR(__xludf.DUMMYFUNCTION("""COMPUTED_VALUE"""),3.166666666666667)</f>
        <v>3.166666667</v>
      </c>
      <c r="D5" s="4">
        <f>IFERROR(__xludf.DUMMYFUNCTION("""COMPUTED_VALUE"""),0.020000000000000004)</f>
        <v>0.02</v>
      </c>
      <c r="E5" s="3">
        <f>IFERROR(__xludf.DUMMYFUNCTION("""COMPUTED_VALUE"""),3.7)</f>
        <v>3.7</v>
      </c>
      <c r="F5" s="4">
        <f>IFERROR(__xludf.DUMMYFUNCTION("""COMPUTED_VALUE"""),2.2)</f>
        <v>2.2</v>
      </c>
      <c r="G5" s="1">
        <f>IFERROR(__xludf.DUMMYFUNCTION("""COMPUTED_VALUE"""),4.5)</f>
        <v>4.5</v>
      </c>
      <c r="H5" s="1">
        <f>IFERROR(__xludf.DUMMYFUNCTION("""COMPUTED_VALUE"""),5.0)</f>
        <v>5</v>
      </c>
      <c r="I5" s="1">
        <f>IFERROR(__xludf.DUMMYFUNCTION("""COMPUTED_VALUE"""),5.0)</f>
        <v>5</v>
      </c>
      <c r="J5" s="4">
        <f>IFERROR(__xludf.DUMMYFUNCTION("""COMPUTED_VALUE"""),0.1)</f>
        <v>0.1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6" t="s">
        <v>121</v>
      </c>
      <c r="AA5" s="6">
        <v>55546.0</v>
      </c>
    </row>
    <row r="6">
      <c r="A6" s="6">
        <v>5.0</v>
      </c>
      <c r="B6" s="6" t="s">
        <v>122</v>
      </c>
      <c r="C6" s="3">
        <f>IFERROR(__xludf.DUMMYFUNCTION("""COMPUTED_VALUE"""),0.12000000000000001)</f>
        <v>0.12</v>
      </c>
      <c r="D6" s="4">
        <f>IFERROR(__xludf.DUMMYFUNCTION("""COMPUTED_VALUE"""),0.020000000000000004)</f>
        <v>0.02</v>
      </c>
      <c r="E6" s="3">
        <f>IFERROR(__xludf.DUMMYFUNCTION("""COMPUTED_VALUE"""),0.1)</f>
        <v>0.1</v>
      </c>
      <c r="F6" s="4">
        <f>IFERROR(__xludf.DUMMYFUNCTION("""COMPUTED_VALUE"""),0.1)</f>
        <v>0.1</v>
      </c>
      <c r="G6" s="1">
        <f>IFERROR(__xludf.DUMMYFUNCTION("""COMPUTED_VALUE"""),0.1)</f>
        <v>0.1</v>
      </c>
      <c r="H6" s="4"/>
      <c r="I6" s="4"/>
      <c r="J6" s="4">
        <f>IFERROR(__xludf.DUMMYFUNCTION("""COMPUTED_VALUE"""),0.1)</f>
        <v>0.1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AA6" s="6">
        <v>55546.0</v>
      </c>
    </row>
    <row r="7">
      <c r="A7" s="6">
        <v>6.0</v>
      </c>
      <c r="B7" s="6" t="s">
        <v>123</v>
      </c>
      <c r="C7" s="3">
        <f>IFERROR(__xludf.DUMMYFUNCTION("""COMPUTED_VALUE"""),3.22)</f>
        <v>3.22</v>
      </c>
      <c r="D7" s="4">
        <f>IFERROR(__xludf.DUMMYFUNCTION("""COMPUTED_VALUE"""),0.020000000000000004)</f>
        <v>0.02</v>
      </c>
      <c r="E7" s="3">
        <f>IFERROR(__xludf.DUMMYFUNCTION("""COMPUTED_VALUE"""),2.4)</f>
        <v>2.4</v>
      </c>
      <c r="F7" s="4">
        <f>IFERROR(__xludf.DUMMYFUNCTION("""COMPUTED_VALUE"""),1.9)</f>
        <v>1.9</v>
      </c>
      <c r="G7" s="1">
        <f>IFERROR(__xludf.DUMMYFUNCTION("""COMPUTED_VALUE"""),4.5)</f>
        <v>4.5</v>
      </c>
      <c r="H7" s="1">
        <f>IFERROR(__xludf.DUMMYFUNCTION("""COMPUTED_VALUE"""),0.0)</f>
        <v>0</v>
      </c>
      <c r="I7" s="1">
        <f>IFERROR(__xludf.DUMMYFUNCTION("""COMPUTED_VALUE"""),4.8)</f>
        <v>4.8</v>
      </c>
      <c r="J7" s="4">
        <f>IFERROR(__xludf.DUMMYFUNCTION("""COMPUTED_VALUE"""),0.1)</f>
        <v>0.1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6" t="s">
        <v>124</v>
      </c>
      <c r="AA7" s="6">
        <v>55546.0</v>
      </c>
    </row>
    <row r="8">
      <c r="A8" s="6">
        <v>7.0</v>
      </c>
      <c r="B8" s="6" t="s">
        <v>125</v>
      </c>
      <c r="C8" s="3">
        <f>IFERROR(__xludf.DUMMYFUNCTION("""COMPUTED_VALUE"""),4.24)</f>
        <v>4.24</v>
      </c>
      <c r="D8" s="4">
        <f>IFERROR(__xludf.DUMMYFUNCTION("""COMPUTED_VALUE"""),0.020000000000000004)</f>
        <v>0.02</v>
      </c>
      <c r="E8" s="3">
        <f>IFERROR(__xludf.DUMMYFUNCTION("""COMPUTED_VALUE"""),2.4)</f>
        <v>2.4</v>
      </c>
      <c r="F8" s="4">
        <f>IFERROR(__xludf.DUMMYFUNCTION("""COMPUTED_VALUE"""),2.2)</f>
        <v>2.2</v>
      </c>
      <c r="G8" s="1">
        <f>IFERROR(__xludf.DUMMYFUNCTION("""COMPUTED_VALUE"""),4.8)</f>
        <v>4.8</v>
      </c>
      <c r="H8" s="1">
        <f>IFERROR(__xludf.DUMMYFUNCTION("""COMPUTED_VALUE"""),4.8)</f>
        <v>4.8</v>
      </c>
      <c r="I8" s="1">
        <f>IFERROR(__xludf.DUMMYFUNCTION("""COMPUTED_VALUE"""),0.0)</f>
        <v>0</v>
      </c>
      <c r="J8" s="4">
        <f>IFERROR(__xludf.DUMMYFUNCTION("""COMPUTED_VALUE"""),0.1)</f>
        <v>0.1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6" t="s">
        <v>126</v>
      </c>
      <c r="AA8" s="6">
        <v>55546.0</v>
      </c>
    </row>
    <row r="9">
      <c r="A9" s="6">
        <v>8.0</v>
      </c>
      <c r="B9" s="6" t="s">
        <v>127</v>
      </c>
      <c r="C9" s="3">
        <f>IFERROR(__xludf.DUMMYFUNCTION("""COMPUTED_VALUE"""),5.0)</f>
        <v>5</v>
      </c>
      <c r="D9" s="4">
        <f>IFERROR(__xludf.DUMMYFUNCTION("""COMPUTED_VALUE"""),0.020000000000000004)</f>
        <v>0.02</v>
      </c>
      <c r="E9" s="3">
        <f>IFERROR(__xludf.DUMMYFUNCTION("""COMPUTED_VALUE"""),3.7)</f>
        <v>3.7</v>
      </c>
      <c r="F9" s="4">
        <f>IFERROR(__xludf.DUMMYFUNCTION("""COMPUTED_VALUE"""),2.9)</f>
        <v>2.9</v>
      </c>
      <c r="G9" s="1">
        <f>IFERROR(__xludf.DUMMYFUNCTION("""COMPUTED_VALUE"""),4.8)</f>
        <v>4.8</v>
      </c>
      <c r="H9" s="1">
        <f>IFERROR(__xludf.DUMMYFUNCTION("""COMPUTED_VALUE"""),5.0)</f>
        <v>5</v>
      </c>
      <c r="I9" s="1">
        <f>IFERROR(__xludf.DUMMYFUNCTION("""COMPUTED_VALUE"""),4.8)</f>
        <v>4.8</v>
      </c>
      <c r="J9" s="4">
        <f>IFERROR(__xludf.DUMMYFUNCTION("""COMPUTED_VALUE"""),0.1)</f>
        <v>0.1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6" t="s">
        <v>128</v>
      </c>
      <c r="AA9" s="6">
        <v>55546.0</v>
      </c>
    </row>
    <row r="10">
      <c r="A10" s="6">
        <v>9.0</v>
      </c>
      <c r="B10" s="6" t="s">
        <v>129</v>
      </c>
      <c r="C10" s="3">
        <f>IFERROR(__xludf.DUMMYFUNCTION("""COMPUTED_VALUE"""),4.966666666666667)</f>
        <v>4.966666667</v>
      </c>
      <c r="D10" s="4">
        <f>IFERROR(__xludf.DUMMYFUNCTION("""COMPUTED_VALUE"""),0.020000000000000004)</f>
        <v>0.02</v>
      </c>
      <c r="E10" s="3">
        <f>IFERROR(__xludf.DUMMYFUNCTION("""COMPUTED_VALUE"""),2.9)</f>
        <v>2.9</v>
      </c>
      <c r="F10" s="4">
        <f>IFERROR(__xludf.DUMMYFUNCTION("""COMPUTED_VALUE"""),2.6)</f>
        <v>2.6</v>
      </c>
      <c r="G10" s="1">
        <f>IFERROR(__xludf.DUMMYFUNCTION("""COMPUTED_VALUE"""),4.7)</f>
        <v>4.7</v>
      </c>
      <c r="H10" s="1">
        <f>IFERROR(__xludf.DUMMYFUNCTION("""COMPUTED_VALUE"""),2.3)</f>
        <v>2.3</v>
      </c>
      <c r="I10" s="1">
        <f>IFERROR(__xludf.DUMMYFUNCTION("""COMPUTED_VALUE"""),4.5)</f>
        <v>4.5</v>
      </c>
      <c r="J10" s="4">
        <f>IFERROR(__xludf.DUMMYFUNCTION("""COMPUTED_VALUE"""),0.1)</f>
        <v>0.1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6" t="s">
        <v>130</v>
      </c>
      <c r="AA10" s="6">
        <v>55546.0</v>
      </c>
    </row>
    <row r="11">
      <c r="A11" s="6">
        <v>10.0</v>
      </c>
      <c r="B11" s="6" t="s">
        <v>131</v>
      </c>
      <c r="C11" s="3">
        <f>IFERROR(__xludf.DUMMYFUNCTION("""COMPUTED_VALUE"""),3.2933333333333334)</f>
        <v>3.293333333</v>
      </c>
      <c r="D11" s="4">
        <f>IFERROR(__xludf.DUMMYFUNCTION("""COMPUTED_VALUE"""),0.020000000000000004)</f>
        <v>0.02</v>
      </c>
      <c r="E11" s="3">
        <f>IFERROR(__xludf.DUMMYFUNCTION("""COMPUTED_VALUE"""),3.0)</f>
        <v>3</v>
      </c>
      <c r="F11" s="4">
        <f>IFERROR(__xludf.DUMMYFUNCTION("""COMPUTED_VALUE"""),2.1)</f>
        <v>2.1</v>
      </c>
      <c r="G11" s="1">
        <f>IFERROR(__xludf.DUMMYFUNCTION("""COMPUTED_VALUE"""),3.8)</f>
        <v>3.8</v>
      </c>
      <c r="H11" s="1">
        <f>IFERROR(__xludf.DUMMYFUNCTION("""COMPUTED_VALUE"""),4.3)</f>
        <v>4.3</v>
      </c>
      <c r="I11" s="1">
        <f>IFERROR(__xludf.DUMMYFUNCTION("""COMPUTED_VALUE"""),3.8)</f>
        <v>3.8</v>
      </c>
      <c r="J11" s="4">
        <f>IFERROR(__xludf.DUMMYFUNCTION("""COMPUTED_VALUE"""),0.1)</f>
        <v>0.1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6" t="s">
        <v>132</v>
      </c>
      <c r="AA11" s="6">
        <v>55546.0</v>
      </c>
    </row>
    <row r="12">
      <c r="A12" s="6">
        <v>11.0</v>
      </c>
      <c r="B12" s="6" t="s">
        <v>133</v>
      </c>
      <c r="C12" s="3">
        <f>IFERROR(__xludf.DUMMYFUNCTION("""COMPUTED_VALUE"""),4.493333333333333)</f>
        <v>4.493333333</v>
      </c>
      <c r="D12" s="4">
        <f>IFERROR(__xludf.DUMMYFUNCTION("""COMPUTED_VALUE"""),0.020000000000000004)</f>
        <v>0.02</v>
      </c>
      <c r="E12" s="3">
        <f>IFERROR(__xludf.DUMMYFUNCTION("""COMPUTED_VALUE"""),2.3)</f>
        <v>2.3</v>
      </c>
      <c r="F12" s="4">
        <f>IFERROR(__xludf.DUMMYFUNCTION("""COMPUTED_VALUE"""),2.3)</f>
        <v>2.3</v>
      </c>
      <c r="G12" s="1">
        <f>IFERROR(__xludf.DUMMYFUNCTION("""COMPUTED_VALUE"""),4.5)</f>
        <v>4.5</v>
      </c>
      <c r="H12" s="1">
        <f>IFERROR(__xludf.DUMMYFUNCTION("""COMPUTED_VALUE"""),4.4)</f>
        <v>4.4</v>
      </c>
      <c r="I12" s="1">
        <f>IFERROR(__xludf.DUMMYFUNCTION("""COMPUTED_VALUE"""),0.0)</f>
        <v>0</v>
      </c>
      <c r="J12" s="4">
        <f>IFERROR(__xludf.DUMMYFUNCTION("""COMPUTED_VALUE"""),0.1)</f>
        <v>0.1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6" t="s">
        <v>134</v>
      </c>
      <c r="AA12" s="6">
        <v>55546.0</v>
      </c>
    </row>
    <row r="13">
      <c r="A13" s="6">
        <v>12.0</v>
      </c>
      <c r="B13" s="6" t="s">
        <v>135</v>
      </c>
      <c r="C13" s="3">
        <f>IFERROR(__xludf.DUMMYFUNCTION("""COMPUTED_VALUE"""),4.086666666666667)</f>
        <v>4.086666667</v>
      </c>
      <c r="D13" s="4">
        <f>IFERROR(__xludf.DUMMYFUNCTION("""COMPUTED_VALUE"""),0.020000000000000004)</f>
        <v>0.02</v>
      </c>
      <c r="E13" s="3">
        <f>IFERROR(__xludf.DUMMYFUNCTION("""COMPUTED_VALUE"""),2.2)</f>
        <v>2.2</v>
      </c>
      <c r="F13" s="4">
        <f>IFERROR(__xludf.DUMMYFUNCTION("""COMPUTED_VALUE"""),2.1)</f>
        <v>2.1</v>
      </c>
      <c r="G13" s="1">
        <f>IFERROR(__xludf.DUMMYFUNCTION("""COMPUTED_VALUE"""),4.8)</f>
        <v>4.8</v>
      </c>
      <c r="H13" s="1">
        <f>IFERROR(__xludf.DUMMYFUNCTION("""COMPUTED_VALUE"""),4.0)</f>
        <v>4</v>
      </c>
      <c r="I13" s="1">
        <f>IFERROR(__xludf.DUMMYFUNCTION("""COMPUTED_VALUE"""),0.0)</f>
        <v>0</v>
      </c>
      <c r="J13" s="4">
        <f>IFERROR(__xludf.DUMMYFUNCTION("""COMPUTED_VALUE"""),0.1)</f>
        <v>0.1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6" t="s">
        <v>136</v>
      </c>
      <c r="AA13" s="6">
        <v>55546.0</v>
      </c>
    </row>
    <row r="14">
      <c r="A14" s="6">
        <v>13.0</v>
      </c>
      <c r="B14" s="6" t="s">
        <v>137</v>
      </c>
      <c r="C14" s="3">
        <f>IFERROR(__xludf.DUMMYFUNCTION("""COMPUTED_VALUE"""),2.4)</f>
        <v>2.4</v>
      </c>
      <c r="D14" s="4">
        <f>IFERROR(__xludf.DUMMYFUNCTION("""COMPUTED_VALUE"""),0.020000000000000004)</f>
        <v>0.02</v>
      </c>
      <c r="E14" s="3">
        <f>IFERROR(__xludf.DUMMYFUNCTION("""COMPUTED_VALUE"""),0.0)</f>
        <v>0</v>
      </c>
      <c r="F14" s="4">
        <f>IFERROR(__xludf.DUMMYFUNCTION("""COMPUTED_VALUE"""),0.8)</f>
        <v>0.8</v>
      </c>
      <c r="G14" s="1">
        <f>IFERROR(__xludf.DUMMYFUNCTION("""COMPUTED_VALUE"""),0.0)</f>
        <v>0</v>
      </c>
      <c r="H14" s="1">
        <f>IFERROR(__xludf.DUMMYFUNCTION("""COMPUTED_VALUE"""),0.0)</f>
        <v>0</v>
      </c>
      <c r="I14" s="1">
        <f>IFERROR(__xludf.DUMMYFUNCTION("""COMPUTED_VALUE"""),0.0)</f>
        <v>0</v>
      </c>
      <c r="J14" s="4">
        <f>IFERROR(__xludf.DUMMYFUNCTION("""COMPUTED_VALUE"""),0.1)</f>
        <v>0.1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6" t="s">
        <v>138</v>
      </c>
      <c r="AA14" s="6">
        <v>55546.0</v>
      </c>
    </row>
    <row r="15">
      <c r="A15" s="6">
        <v>14.0</v>
      </c>
      <c r="B15" s="6" t="s">
        <v>139</v>
      </c>
      <c r="C15" s="3">
        <f>IFERROR(__xludf.DUMMYFUNCTION("""COMPUTED_VALUE"""),3.3333333333333335)</f>
        <v>3.333333333</v>
      </c>
      <c r="D15" s="4">
        <f>IFERROR(__xludf.DUMMYFUNCTION("""COMPUTED_VALUE"""),0.020000000000000004)</f>
        <v>0.02</v>
      </c>
      <c r="E15" s="3">
        <f>IFERROR(__xludf.DUMMYFUNCTION("""COMPUTED_VALUE"""),3.5)</f>
        <v>3.5</v>
      </c>
      <c r="F15" s="4">
        <f>IFERROR(__xludf.DUMMYFUNCTION("""COMPUTED_VALUE"""),2.2)</f>
        <v>2.2</v>
      </c>
      <c r="G15" s="1">
        <f>IFERROR(__xludf.DUMMYFUNCTION("""COMPUTED_VALUE"""),4.5)</f>
        <v>4.5</v>
      </c>
      <c r="H15" s="1">
        <f>IFERROR(__xludf.DUMMYFUNCTION("""COMPUTED_VALUE"""),4.5)</f>
        <v>4.5</v>
      </c>
      <c r="I15" s="1">
        <f>IFERROR(__xludf.DUMMYFUNCTION("""COMPUTED_VALUE"""),5.0)</f>
        <v>5</v>
      </c>
      <c r="J15" s="4">
        <f>IFERROR(__xludf.DUMMYFUNCTION("""COMPUTED_VALUE"""),0.1)</f>
        <v>0.1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6" t="s">
        <v>140</v>
      </c>
      <c r="AA15" s="6">
        <v>55546.0</v>
      </c>
    </row>
    <row r="16">
      <c r="A16" s="6">
        <v>15.0</v>
      </c>
      <c r="B16" s="6" t="s">
        <v>141</v>
      </c>
      <c r="C16" s="3">
        <f>IFERROR(__xludf.DUMMYFUNCTION("""COMPUTED_VALUE"""),3.7133333333333334)</f>
        <v>3.713333333</v>
      </c>
      <c r="D16" s="4">
        <f>IFERROR(__xludf.DUMMYFUNCTION("""COMPUTED_VALUE"""),0.020000000000000004)</f>
        <v>0.02</v>
      </c>
      <c r="E16" s="3">
        <f>IFERROR(__xludf.DUMMYFUNCTION("""COMPUTED_VALUE"""),2.7)</f>
        <v>2.7</v>
      </c>
      <c r="F16" s="4">
        <f>IFERROR(__xludf.DUMMYFUNCTION("""COMPUTED_VALUE"""),2.1)</f>
        <v>2.1</v>
      </c>
      <c r="G16" s="1">
        <f>IFERROR(__xludf.DUMMYFUNCTION("""COMPUTED_VALUE"""),3.6)</f>
        <v>3.6</v>
      </c>
      <c r="H16" s="1">
        <f>IFERROR(__xludf.DUMMYFUNCTION("""COMPUTED_VALUE"""),3.1)</f>
        <v>3.1</v>
      </c>
      <c r="I16" s="1">
        <f>IFERROR(__xludf.DUMMYFUNCTION("""COMPUTED_VALUE"""),4.0)</f>
        <v>4</v>
      </c>
      <c r="J16" s="4">
        <f>IFERROR(__xludf.DUMMYFUNCTION("""COMPUTED_VALUE"""),0.1)</f>
        <v>0.1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6" t="s">
        <v>142</v>
      </c>
      <c r="AA16" s="6">
        <v>55546.0</v>
      </c>
    </row>
    <row r="17">
      <c r="A17" s="6">
        <v>16.0</v>
      </c>
      <c r="B17" s="6" t="s">
        <v>143</v>
      </c>
      <c r="C17" s="3">
        <f>IFERROR(__xludf.DUMMYFUNCTION("""COMPUTED_VALUE"""),4.94)</f>
        <v>4.94</v>
      </c>
      <c r="D17" s="4">
        <f>IFERROR(__xludf.DUMMYFUNCTION("""COMPUTED_VALUE"""),0.020000000000000004)</f>
        <v>0.02</v>
      </c>
      <c r="E17" s="3">
        <f>IFERROR(__xludf.DUMMYFUNCTION("""COMPUTED_VALUE"""),3.6)</f>
        <v>3.6</v>
      </c>
      <c r="F17" s="4">
        <f>IFERROR(__xludf.DUMMYFUNCTION("""COMPUTED_VALUE"""),2.8)</f>
        <v>2.8</v>
      </c>
      <c r="G17" s="1">
        <f>IFERROR(__xludf.DUMMYFUNCTION("""COMPUTED_VALUE"""),4.5)</f>
        <v>4.5</v>
      </c>
      <c r="H17" s="1">
        <f>IFERROR(__xludf.DUMMYFUNCTION("""COMPUTED_VALUE"""),5.0)</f>
        <v>5</v>
      </c>
      <c r="I17" s="1">
        <f>IFERROR(__xludf.DUMMYFUNCTION("""COMPUTED_VALUE"""),4.6)</f>
        <v>4.6</v>
      </c>
      <c r="J17" s="4">
        <f>IFERROR(__xludf.DUMMYFUNCTION("""COMPUTED_VALUE"""),0.1)</f>
        <v>0.1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6" t="s">
        <v>144</v>
      </c>
      <c r="AA17" s="6">
        <v>55546.0</v>
      </c>
    </row>
    <row r="18">
      <c r="A18" s="6">
        <v>17.0</v>
      </c>
      <c r="B18" s="6" t="s">
        <v>145</v>
      </c>
      <c r="C18" s="3">
        <f>IFERROR(__xludf.DUMMYFUNCTION("""COMPUTED_VALUE"""),3.966666666666667)</f>
        <v>3.966666667</v>
      </c>
      <c r="D18" s="4">
        <f>IFERROR(__xludf.DUMMYFUNCTION("""COMPUTED_VALUE"""),0.020000000000000004)</f>
        <v>0.02</v>
      </c>
      <c r="E18" s="3">
        <f>IFERROR(__xludf.DUMMYFUNCTION("""COMPUTED_VALUE"""),3.7)</f>
        <v>3.7</v>
      </c>
      <c r="F18" s="4">
        <f>IFERROR(__xludf.DUMMYFUNCTION("""COMPUTED_VALUE"""),2.5)</f>
        <v>2.5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IFERROR(__xludf.DUMMYFUNCTION("""COMPUTED_VALUE"""),4.8)</f>
        <v>4.8</v>
      </c>
      <c r="J18" s="4">
        <f>IFERROR(__xludf.DUMMYFUNCTION("""COMPUTED_VALUE"""),0.1)</f>
        <v>0.1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6" t="s">
        <v>146</v>
      </c>
      <c r="AA18" s="6">
        <v>55546.0</v>
      </c>
    </row>
    <row r="19">
      <c r="A19" s="6">
        <v>18.0</v>
      </c>
      <c r="B19" s="6" t="s">
        <v>147</v>
      </c>
      <c r="C19" s="3">
        <f>IFERROR(__xludf.DUMMYFUNCTION("""COMPUTED_VALUE"""),2.7333333333333334)</f>
        <v>2.733333333</v>
      </c>
      <c r="D19" s="4">
        <f>IFERROR(__xludf.DUMMYFUNCTION("""COMPUTED_VALUE"""),0.020000000000000004)</f>
        <v>0.02</v>
      </c>
      <c r="E19" s="3">
        <f>IFERROR(__xludf.DUMMYFUNCTION("""COMPUTED_VALUE"""),1.3)</f>
        <v>1.3</v>
      </c>
      <c r="F19" s="4">
        <f>IFERROR(__xludf.DUMMYFUNCTION("""COMPUTED_VALUE"""),1.4)</f>
        <v>1.4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4">
        <f>IFERROR(__xludf.DUMMYFUNCTION("""COMPUTED_VALUE"""),0.1)</f>
        <v>0.1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6" t="s">
        <v>148</v>
      </c>
      <c r="AA19" s="6">
        <v>55546.0</v>
      </c>
    </row>
    <row r="20">
      <c r="A20" s="6">
        <v>19.0</v>
      </c>
      <c r="B20" s="6" t="s">
        <v>149</v>
      </c>
      <c r="C20" s="3">
        <f>IFERROR(__xludf.DUMMYFUNCTION("""COMPUTED_VALUE"""),4.873333333333333)</f>
        <v>4.873333333</v>
      </c>
      <c r="D20" s="4">
        <f>IFERROR(__xludf.DUMMYFUNCTION("""COMPUTED_VALUE"""),0.020000000000000004)</f>
        <v>0.02</v>
      </c>
      <c r="E20" s="3">
        <f>IFERROR(__xludf.DUMMYFUNCTION("""COMPUTED_VALUE"""),3.3)</f>
        <v>3.3</v>
      </c>
      <c r="F20" s="4">
        <f>IFERROR(__xludf.DUMMYFUNCTION("""COMPUTED_VALUE"""),2.7)</f>
        <v>2.7</v>
      </c>
      <c r="G20" s="1">
        <f>IFERROR(__xludf.DUMMYFUNCTION("""COMPUTED_VALUE"""),4.8)</f>
        <v>4.8</v>
      </c>
      <c r="H20" s="1">
        <f>IFERROR(__xludf.DUMMYFUNCTION("""COMPUTED_VALUE"""),4.2)</f>
        <v>4.2</v>
      </c>
      <c r="I20" s="1">
        <f>IFERROR(__xludf.DUMMYFUNCTION("""COMPUTED_VALUE"""),4.1)</f>
        <v>4.1</v>
      </c>
      <c r="J20" s="4">
        <f>IFERROR(__xludf.DUMMYFUNCTION("""COMPUTED_VALUE"""),0.1)</f>
        <v>0.1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6" t="s">
        <v>150</v>
      </c>
      <c r="AA20" s="6">
        <v>55546.0</v>
      </c>
    </row>
    <row r="21">
      <c r="A21" s="6">
        <v>20.0</v>
      </c>
      <c r="B21" s="6" t="s">
        <v>151</v>
      </c>
      <c r="C21" s="3">
        <f>IFERROR(__xludf.DUMMYFUNCTION("""COMPUTED_VALUE"""),3.6333333333333333)</f>
        <v>3.633333333</v>
      </c>
      <c r="D21" s="4">
        <f>IFERROR(__xludf.DUMMYFUNCTION("""COMPUTED_VALUE"""),0.020000000000000004)</f>
        <v>0.02</v>
      </c>
      <c r="E21" s="3">
        <f>IFERROR(__xludf.DUMMYFUNCTION("""COMPUTED_VALUE"""),2.4)</f>
        <v>2.4</v>
      </c>
      <c r="F21" s="4">
        <f>IFERROR(__xludf.DUMMYFUNCTION("""COMPUTED_VALUE"""),2.0)</f>
        <v>2</v>
      </c>
      <c r="G21" s="1">
        <f>IFERROR(__xludf.DUMMYFUNCTION("""COMPUTED_VALUE"""),5.0)</f>
        <v>5</v>
      </c>
      <c r="H21" s="1">
        <f>IFERROR(__xludf.DUMMYFUNCTION("""COMPUTED_VALUE"""),4.5)</f>
        <v>4.5</v>
      </c>
      <c r="I21" s="1">
        <f>IFERROR(__xludf.DUMMYFUNCTION("""COMPUTED_VALUE"""),0.0)</f>
        <v>0</v>
      </c>
      <c r="J21" s="4">
        <f>IFERROR(__xludf.DUMMYFUNCTION("""COMPUTED_VALUE"""),0.1)</f>
        <v>0.1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6" t="s">
        <v>152</v>
      </c>
      <c r="AA21" s="6">
        <v>55546.0</v>
      </c>
    </row>
    <row r="22">
      <c r="A22" s="6">
        <v>21.0</v>
      </c>
      <c r="B22" s="6" t="s">
        <v>153</v>
      </c>
      <c r="C22" s="3">
        <f>IFERROR(__xludf.DUMMYFUNCTION("""COMPUTED_VALUE"""),3.6066666666666665)</f>
        <v>3.606666667</v>
      </c>
      <c r="D22" s="4">
        <f>IFERROR(__xludf.DUMMYFUNCTION("""COMPUTED_VALUE"""),0.020000000000000004)</f>
        <v>0.02</v>
      </c>
      <c r="E22" s="3">
        <f>IFERROR(__xludf.DUMMYFUNCTION("""COMPUTED_VALUE"""),2.3)</f>
        <v>2.3</v>
      </c>
      <c r="F22" s="4">
        <f>IFERROR(__xludf.DUMMYFUNCTION("""COMPUTED_VALUE"""),2.0)</f>
        <v>2</v>
      </c>
      <c r="G22" s="1">
        <f>IFERROR(__xludf.DUMMYFUNCTION("""COMPUTED_VALUE"""),4.3)</f>
        <v>4.3</v>
      </c>
      <c r="H22" s="1">
        <f>IFERROR(__xludf.DUMMYFUNCTION("""COMPUTED_VALUE"""),4.8)</f>
        <v>4.8</v>
      </c>
      <c r="I22" s="1">
        <f>IFERROR(__xludf.DUMMYFUNCTION("""COMPUTED_VALUE"""),0.0)</f>
        <v>0</v>
      </c>
      <c r="J22" s="4">
        <f>IFERROR(__xludf.DUMMYFUNCTION("""COMPUTED_VALUE"""),0.1)</f>
        <v>0.1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6" t="s">
        <v>154</v>
      </c>
      <c r="AA22" s="6">
        <v>55546.0</v>
      </c>
    </row>
    <row r="23">
      <c r="A23" s="6">
        <v>22.0</v>
      </c>
      <c r="B23" s="6" t="s">
        <v>155</v>
      </c>
      <c r="C23" s="3">
        <f>IFERROR(__xludf.DUMMYFUNCTION("""COMPUTED_VALUE"""),4.953333333333333)</f>
        <v>4.953333333</v>
      </c>
      <c r="D23" s="4">
        <f>IFERROR(__xludf.DUMMYFUNCTION("""COMPUTED_VALUE"""),0.020000000000000004)</f>
        <v>0.02</v>
      </c>
      <c r="E23" s="3">
        <f>IFERROR(__xludf.DUMMYFUNCTION("""COMPUTED_VALUE"""),3.6)</f>
        <v>3.6</v>
      </c>
      <c r="F23" s="4">
        <f>IFERROR(__xludf.DUMMYFUNCTION("""COMPUTED_VALUE"""),2.8)</f>
        <v>2.8</v>
      </c>
      <c r="G23" s="1">
        <f>IFERROR(__xludf.DUMMYFUNCTION("""COMPUTED_VALUE"""),4.3)</f>
        <v>4.3</v>
      </c>
      <c r="H23" s="1">
        <f>IFERROR(__xludf.DUMMYFUNCTION("""COMPUTED_VALUE"""),5.0)</f>
        <v>5</v>
      </c>
      <c r="I23" s="1">
        <f>IFERROR(__xludf.DUMMYFUNCTION("""COMPUTED_VALUE"""),5.0)</f>
        <v>5</v>
      </c>
      <c r="J23" s="4">
        <f>IFERROR(__xludf.DUMMYFUNCTION("""COMPUTED_VALUE"""),0.1)</f>
        <v>0.1</v>
      </c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6" t="s">
        <v>156</v>
      </c>
      <c r="AA23" s="6">
        <v>55546.0</v>
      </c>
    </row>
    <row r="24">
      <c r="A24" s="6">
        <v>23.0</v>
      </c>
      <c r="B24" s="6" t="s">
        <v>157</v>
      </c>
      <c r="C24" s="3">
        <f>IFERROR(__xludf.DUMMYFUNCTION("""COMPUTED_VALUE"""),3.0366666666666666)</f>
        <v>3.036666667</v>
      </c>
      <c r="D24" s="4">
        <f>IFERROR(__xludf.DUMMYFUNCTION("""COMPUTED_VALUE"""),0.020000000000000004)</f>
        <v>0.02</v>
      </c>
      <c r="E24" s="3">
        <f>IFERROR(__xludf.DUMMYFUNCTION("""COMPUTED_VALUE"""),3.4)</f>
        <v>3.4</v>
      </c>
      <c r="F24" s="4">
        <f>IFERROR(__xludf.DUMMYFUNCTION("""COMPUTED_VALUE"""),2.1)</f>
        <v>2.1</v>
      </c>
      <c r="G24" s="1">
        <f>IFERROR(__xludf.DUMMYFUNCTION("""COMPUTED_VALUE"""),4.5)</f>
        <v>4.5</v>
      </c>
      <c r="H24" s="1">
        <f>IFERROR(__xludf.DUMMYFUNCTION("""COMPUTED_VALUE"""),4.5)</f>
        <v>4.5</v>
      </c>
      <c r="I24" s="1">
        <f>IFERROR(__xludf.DUMMYFUNCTION("""COMPUTED_VALUE"""),4.3)</f>
        <v>4.3</v>
      </c>
      <c r="J24" s="4">
        <f>IFERROR(__xludf.DUMMYFUNCTION("""COMPUTED_VALUE"""),0.1)</f>
        <v>0.1</v>
      </c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6" t="s">
        <v>158</v>
      </c>
      <c r="AA24" s="6">
        <v>55546.0</v>
      </c>
    </row>
    <row r="25">
      <c r="A25" s="6">
        <v>24.0</v>
      </c>
      <c r="B25" s="6" t="s">
        <v>159</v>
      </c>
      <c r="C25" s="3">
        <f>IFERROR(__xludf.DUMMYFUNCTION("""COMPUTED_VALUE"""),3.003333333333333)</f>
        <v>3.003333333</v>
      </c>
      <c r="D25" s="4">
        <f>IFERROR(__xludf.DUMMYFUNCTION("""COMPUTED_VALUE"""),0.020000000000000004)</f>
        <v>0.02</v>
      </c>
      <c r="E25" s="3">
        <f>IFERROR(__xludf.DUMMYFUNCTION("""COMPUTED_VALUE"""),3.6)</f>
        <v>3.6</v>
      </c>
      <c r="F25" s="4">
        <f>IFERROR(__xludf.DUMMYFUNCTION("""COMPUTED_VALUE"""),2.1)</f>
        <v>2.1</v>
      </c>
      <c r="G25" s="1">
        <f>IFERROR(__xludf.DUMMYFUNCTION("""COMPUTED_VALUE"""),4.5)</f>
        <v>4.5</v>
      </c>
      <c r="H25" s="1">
        <f>IFERROR(__xludf.DUMMYFUNCTION("""COMPUTED_VALUE"""),4.8)</f>
        <v>4.8</v>
      </c>
      <c r="I25" s="1">
        <f>IFERROR(__xludf.DUMMYFUNCTION("""COMPUTED_VALUE"""),5.0)</f>
        <v>5</v>
      </c>
      <c r="J25" s="4">
        <f>IFERROR(__xludf.DUMMYFUNCTION("""COMPUTED_VALUE"""),0.1)</f>
        <v>0.1</v>
      </c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6" t="s">
        <v>160</v>
      </c>
      <c r="AA25" s="6">
        <v>55546.0</v>
      </c>
    </row>
    <row r="26">
      <c r="A26" s="6">
        <v>25.0</v>
      </c>
      <c r="B26" s="6" t="s">
        <v>161</v>
      </c>
      <c r="C26" s="3">
        <f>IFERROR(__xludf.DUMMYFUNCTION("""COMPUTED_VALUE"""),5.0)</f>
        <v>5</v>
      </c>
      <c r="D26" s="4">
        <f>IFERROR(__xludf.DUMMYFUNCTION("""COMPUTED_VALUE"""),0.020000000000000004)</f>
        <v>0.02</v>
      </c>
      <c r="E26" s="3">
        <f>IFERROR(__xludf.DUMMYFUNCTION("""COMPUTED_VALUE"""),2.5)</f>
        <v>2.5</v>
      </c>
      <c r="F26" s="4">
        <f>IFERROR(__xludf.DUMMYFUNCTION("""COMPUTED_VALUE"""),2.5)</f>
        <v>2.5</v>
      </c>
      <c r="G26" s="1">
        <f>IFERROR(__xludf.DUMMYFUNCTION("""COMPUTED_VALUE"""),4.8)</f>
        <v>4.8</v>
      </c>
      <c r="H26" s="1">
        <f>IFERROR(__xludf.DUMMYFUNCTION("""COMPUTED_VALUE"""),5.0)</f>
        <v>5</v>
      </c>
      <c r="I26" s="1">
        <f>IFERROR(__xludf.DUMMYFUNCTION("""COMPUTED_VALUE"""),0.0)</f>
        <v>0</v>
      </c>
      <c r="J26" s="4">
        <f>IFERROR(__xludf.DUMMYFUNCTION("""COMPUTED_VALUE"""),0.1)</f>
        <v>0.1</v>
      </c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6" t="s">
        <v>162</v>
      </c>
      <c r="AA26" s="6">
        <v>55546.0</v>
      </c>
    </row>
    <row r="27"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28.5"/>
    <col customWidth="1" min="3" max="25" width="5.13"/>
    <col customWidth="1" min="26" max="26" width="9.63"/>
    <col customWidth="1" min="27" max="27" width="6.75"/>
  </cols>
  <sheetData>
    <row r="1">
      <c r="A1" s="6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6" t="s">
        <v>25</v>
      </c>
      <c r="AA1" s="6" t="s">
        <v>26</v>
      </c>
    </row>
    <row r="2">
      <c r="A2" s="6">
        <v>1.0</v>
      </c>
      <c r="B2" s="6" t="s">
        <v>163</v>
      </c>
      <c r="C2" s="3">
        <f>IFERROR(__xludf.DUMMYFUNCTION("IMPORTRANGE(""1vS2gE-mc1A6CX14zq-8uhU927dLafFRogBm_03E8occ"",""EST2!C2:L24"")"),2.3400000000000003)</f>
        <v>2.34</v>
      </c>
      <c r="D2" s="4">
        <f>IFERROR(__xludf.DUMMYFUNCTION("""COMPUTED_VALUE"""),0.0)</f>
        <v>0</v>
      </c>
      <c r="E2" s="4">
        <f>IFERROR(__xludf.DUMMYFUNCTION("""COMPUTED_VALUE"""),4.5)</f>
        <v>4.5</v>
      </c>
      <c r="F2" s="4">
        <f>IFERROR(__xludf.DUMMYFUNCTION("""COMPUTED_VALUE"""),2.2)</f>
        <v>2.2</v>
      </c>
      <c r="G2" s="1">
        <f>IFERROR(__xludf.DUMMYFUNCTION("""COMPUTED_VALUE"""),3.5)</f>
        <v>3.5</v>
      </c>
      <c r="H2" s="1">
        <f>IFERROR(__xludf.DUMMYFUNCTION("""COMPUTED_VALUE"""),5.0)</f>
        <v>5</v>
      </c>
      <c r="I2" s="1">
        <f>IFERROR(__xludf.DUMMYFUNCTION("""COMPUTED_VALUE"""),4.9)</f>
        <v>4.9</v>
      </c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6" t="s">
        <v>164</v>
      </c>
      <c r="AA2" s="6">
        <v>63507.0</v>
      </c>
    </row>
    <row r="3">
      <c r="A3" s="6">
        <v>2.0</v>
      </c>
      <c r="B3" s="6" t="s">
        <v>165</v>
      </c>
      <c r="C3" s="3">
        <f>IFERROR(__xludf.DUMMYFUNCTION("""COMPUTED_VALUE"""),5.0)</f>
        <v>5</v>
      </c>
      <c r="D3" s="4">
        <f>IFERROR(__xludf.DUMMYFUNCTION("""COMPUTED_VALUE"""),0.0)</f>
        <v>0</v>
      </c>
      <c r="E3" s="4">
        <f>IFERROR(__xludf.DUMMYFUNCTION("""COMPUTED_VALUE"""),3.1)</f>
        <v>3.1</v>
      </c>
      <c r="F3" s="4">
        <f>IFERROR(__xludf.DUMMYFUNCTION("""COMPUTED_VALUE"""),2.7)</f>
        <v>2.7</v>
      </c>
      <c r="G3" s="1">
        <f>IFERROR(__xludf.DUMMYFUNCTION("""COMPUTED_VALUE"""),4.3)</f>
        <v>4.3</v>
      </c>
      <c r="H3" s="1">
        <f>IFERROR(__xludf.DUMMYFUNCTION("""COMPUTED_VALUE"""),5.0)</f>
        <v>5</v>
      </c>
      <c r="I3" s="1">
        <f>IFERROR(__xludf.DUMMYFUNCTION("""COMPUTED_VALUE"""),0.0)</f>
        <v>0</v>
      </c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6" t="s">
        <v>166</v>
      </c>
      <c r="AA3" s="6">
        <v>63507.0</v>
      </c>
    </row>
    <row r="4">
      <c r="A4" s="6">
        <v>3.0</v>
      </c>
      <c r="B4" s="6" t="s">
        <v>167</v>
      </c>
      <c r="C4" s="3">
        <f>IFERROR(__xludf.DUMMYFUNCTION("""COMPUTED_VALUE"""),3.54)</f>
        <v>3.54</v>
      </c>
      <c r="D4" s="4">
        <f>IFERROR(__xludf.DUMMYFUNCTION("""COMPUTED_VALUE"""),0.0)</f>
        <v>0</v>
      </c>
      <c r="E4" s="4">
        <f>IFERROR(__xludf.DUMMYFUNCTION("""COMPUTED_VALUE"""),3.3)</f>
        <v>3.3</v>
      </c>
      <c r="F4" s="4">
        <f>IFERROR(__xludf.DUMMYFUNCTION("""COMPUTED_VALUE"""),2.2)</f>
        <v>2.2</v>
      </c>
      <c r="G4" s="1">
        <f>IFERROR(__xludf.DUMMYFUNCTION("""COMPUTED_VALUE"""),0.0)</f>
        <v>0</v>
      </c>
      <c r="H4" s="1">
        <f>IFERROR(__xludf.DUMMYFUNCTION("""COMPUTED_VALUE"""),5.0)</f>
        <v>5</v>
      </c>
      <c r="I4" s="1">
        <f>IFERROR(__xludf.DUMMYFUNCTION("""COMPUTED_VALUE"""),4.9)</f>
        <v>4.9</v>
      </c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6" t="s">
        <v>168</v>
      </c>
      <c r="AA4" s="6">
        <v>63507.0</v>
      </c>
    </row>
    <row r="5">
      <c r="A5" s="6">
        <v>4.0</v>
      </c>
      <c r="B5" s="6" t="s">
        <v>169</v>
      </c>
      <c r="C5" s="3">
        <f>IFERROR(__xludf.DUMMYFUNCTION("""COMPUTED_VALUE"""),4.61)</f>
        <v>4.61</v>
      </c>
      <c r="D5" s="4">
        <f>IFERROR(__xludf.DUMMYFUNCTION("""COMPUTED_VALUE"""),0.0)</f>
        <v>0</v>
      </c>
      <c r="E5" s="4">
        <f>IFERROR(__xludf.DUMMYFUNCTION("""COMPUTED_VALUE"""),2.0)</f>
        <v>2</v>
      </c>
      <c r="F5" s="4">
        <f>IFERROR(__xludf.DUMMYFUNCTION("""COMPUTED_VALUE"""),2.2)</f>
        <v>2.2</v>
      </c>
      <c r="G5" s="1">
        <f>IFERROR(__xludf.DUMMYFUNCTION("""COMPUTED_VALUE"""),3.3)</f>
        <v>3.3</v>
      </c>
      <c r="H5" s="1">
        <f>IFERROR(__xludf.DUMMYFUNCTION("""COMPUTED_VALUE"""),2.8)</f>
        <v>2.8</v>
      </c>
      <c r="I5" s="1">
        <f>IFERROR(__xludf.DUMMYFUNCTION("""COMPUTED_VALUE"""),0.0)</f>
        <v>0</v>
      </c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6" t="s">
        <v>170</v>
      </c>
      <c r="AA5" s="6">
        <v>63507.0</v>
      </c>
    </row>
    <row r="6">
      <c r="A6" s="6">
        <v>5.0</v>
      </c>
      <c r="B6" s="6" t="s">
        <v>171</v>
      </c>
      <c r="C6" s="3">
        <f>IFERROR(__xludf.DUMMYFUNCTION("""COMPUTED_VALUE"""),3.41)</f>
        <v>3.41</v>
      </c>
      <c r="D6" s="4">
        <f>IFERROR(__xludf.DUMMYFUNCTION("""COMPUTED_VALUE"""),0.0)</f>
        <v>0</v>
      </c>
      <c r="E6" s="4">
        <f>IFERROR(__xludf.DUMMYFUNCTION("""COMPUTED_VALUE"""),4.7)</f>
        <v>4.7</v>
      </c>
      <c r="F6" s="4">
        <f>IFERROR(__xludf.DUMMYFUNCTION("""COMPUTED_VALUE"""),2.6)</f>
        <v>2.6</v>
      </c>
      <c r="G6" s="1">
        <f>IFERROR(__xludf.DUMMYFUNCTION("""COMPUTED_VALUE"""),4.3)</f>
        <v>4.3</v>
      </c>
      <c r="H6" s="1">
        <f>IFERROR(__xludf.DUMMYFUNCTION("""COMPUTED_VALUE"""),4.8)</f>
        <v>4.8</v>
      </c>
      <c r="I6" s="1">
        <f>IFERROR(__xludf.DUMMYFUNCTION("""COMPUTED_VALUE"""),5.0)</f>
        <v>5</v>
      </c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6" t="s">
        <v>172</v>
      </c>
      <c r="AA6" s="6">
        <v>63507.0</v>
      </c>
    </row>
    <row r="7">
      <c r="A7" s="6">
        <v>6.0</v>
      </c>
      <c r="B7" s="6" t="s">
        <v>173</v>
      </c>
      <c r="C7" s="3">
        <f>IFERROR(__xludf.DUMMYFUNCTION("""COMPUTED_VALUE"""),4.43)</f>
        <v>4.43</v>
      </c>
      <c r="D7" s="4">
        <f>IFERROR(__xludf.DUMMYFUNCTION("""COMPUTED_VALUE"""),0.0)</f>
        <v>0</v>
      </c>
      <c r="E7" s="4">
        <f>IFERROR(__xludf.DUMMYFUNCTION("""COMPUTED_VALUE"""),1.4)</f>
        <v>1.4</v>
      </c>
      <c r="F7" s="4">
        <f>IFERROR(__xludf.DUMMYFUNCTION("""COMPUTED_VALUE"""),2.0)</f>
        <v>2</v>
      </c>
      <c r="G7" s="1">
        <f>IFERROR(__xludf.DUMMYFUNCTION("""COMPUTED_VALUE"""),0.0)</f>
        <v>0</v>
      </c>
      <c r="H7" s="1">
        <f>IFERROR(__xludf.DUMMYFUNCTION("""COMPUTED_VALUE"""),4.3)</f>
        <v>4.3</v>
      </c>
      <c r="I7" s="1">
        <f>IFERROR(__xludf.DUMMYFUNCTION("""COMPUTED_VALUE"""),0.0)</f>
        <v>0</v>
      </c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6" t="s">
        <v>174</v>
      </c>
      <c r="AA7" s="6">
        <v>63507.0</v>
      </c>
    </row>
    <row r="8">
      <c r="A8" s="6">
        <v>7.0</v>
      </c>
      <c r="B8" s="6" t="s">
        <v>175</v>
      </c>
      <c r="C8" s="3">
        <f>IFERROR(__xludf.DUMMYFUNCTION("""COMPUTED_VALUE"""),5.0)</f>
        <v>5</v>
      </c>
      <c r="D8" s="4">
        <f>IFERROR(__xludf.DUMMYFUNCTION("""COMPUTED_VALUE"""),0.0)</f>
        <v>0</v>
      </c>
      <c r="E8" s="4">
        <f>IFERROR(__xludf.DUMMYFUNCTION("""COMPUTED_VALUE"""),4.6)</f>
        <v>4.6</v>
      </c>
      <c r="F8" s="4">
        <f>IFERROR(__xludf.DUMMYFUNCTION("""COMPUTED_VALUE"""),3.1)</f>
        <v>3.1</v>
      </c>
      <c r="G8" s="1">
        <f>IFERROR(__xludf.DUMMYFUNCTION("""COMPUTED_VALUE"""),3.8)</f>
        <v>3.8</v>
      </c>
      <c r="H8" s="1">
        <f>IFERROR(__xludf.DUMMYFUNCTION("""COMPUTED_VALUE"""),5.0)</f>
        <v>5</v>
      </c>
      <c r="I8" s="1">
        <f>IFERROR(__xludf.DUMMYFUNCTION("""COMPUTED_VALUE"""),5.0)</f>
        <v>5</v>
      </c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6" t="s">
        <v>176</v>
      </c>
      <c r="AA8" s="6">
        <v>63507.0</v>
      </c>
    </row>
    <row r="9">
      <c r="A9" s="6">
        <v>8.0</v>
      </c>
      <c r="B9" s="6" t="s">
        <v>177</v>
      </c>
      <c r="C9" s="3">
        <f>IFERROR(__xludf.DUMMYFUNCTION("""COMPUTED_VALUE"""),4.38)</f>
        <v>4.38</v>
      </c>
      <c r="D9" s="4">
        <f>IFERROR(__xludf.DUMMYFUNCTION("""COMPUTED_VALUE"""),0.0)</f>
        <v>0</v>
      </c>
      <c r="E9" s="4">
        <f>IFERROR(__xludf.DUMMYFUNCTION("""COMPUTED_VALUE"""),4.6)</f>
        <v>4.6</v>
      </c>
      <c r="F9" s="4">
        <f>IFERROR(__xludf.DUMMYFUNCTION("""COMPUTED_VALUE"""),2.9)</f>
        <v>2.9</v>
      </c>
      <c r="G9" s="1">
        <f>IFERROR(__xludf.DUMMYFUNCTION("""COMPUTED_VALUE"""),3.8)</f>
        <v>3.8</v>
      </c>
      <c r="H9" s="1">
        <f>IFERROR(__xludf.DUMMYFUNCTION("""COMPUTED_VALUE"""),5.0)</f>
        <v>5</v>
      </c>
      <c r="I9" s="1">
        <f>IFERROR(__xludf.DUMMYFUNCTION("""COMPUTED_VALUE"""),5.0)</f>
        <v>5</v>
      </c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6" t="s">
        <v>178</v>
      </c>
      <c r="AA9" s="6">
        <v>63507.0</v>
      </c>
    </row>
    <row r="10">
      <c r="A10" s="6">
        <v>9.0</v>
      </c>
      <c r="B10" s="6" t="s">
        <v>179</v>
      </c>
      <c r="C10" s="3">
        <f>IFERROR(__xludf.DUMMYFUNCTION("""COMPUTED_VALUE"""),3.43)</f>
        <v>3.43</v>
      </c>
      <c r="D10" s="4">
        <f>IFERROR(__xludf.DUMMYFUNCTION("""COMPUTED_VALUE"""),0.0)</f>
        <v>0</v>
      </c>
      <c r="E10" s="4">
        <f>IFERROR(__xludf.DUMMYFUNCTION("""COMPUTED_VALUE"""),1.4)</f>
        <v>1.4</v>
      </c>
      <c r="F10" s="4">
        <f>IFERROR(__xludf.DUMMYFUNCTION("""COMPUTED_VALUE"""),1.6)</f>
        <v>1.6</v>
      </c>
      <c r="G10" s="1">
        <f>IFERROR(__xludf.DUMMYFUNCTION("""COMPUTED_VALUE"""),0.0)</f>
        <v>0</v>
      </c>
      <c r="H10" s="1">
        <f>IFERROR(__xludf.DUMMYFUNCTION("""COMPUTED_VALUE"""),4.3)</f>
        <v>4.3</v>
      </c>
      <c r="I10" s="1">
        <f>IFERROR(__xludf.DUMMYFUNCTION("""COMPUTED_VALUE"""),0.0)</f>
        <v>0</v>
      </c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6" t="s">
        <v>180</v>
      </c>
      <c r="AA10" s="6">
        <v>63507.0</v>
      </c>
    </row>
    <row r="11">
      <c r="A11" s="6">
        <v>10.0</v>
      </c>
      <c r="B11" s="6" t="s">
        <v>181</v>
      </c>
      <c r="C11" s="3">
        <f>IFERROR(__xludf.DUMMYFUNCTION("""COMPUTED_VALUE"""),2.15)</f>
        <v>2.15</v>
      </c>
      <c r="D11" s="4">
        <f>IFERROR(__xludf.DUMMYFUNCTION("""COMPUTED_VALUE"""),0.0)</f>
        <v>0</v>
      </c>
      <c r="E11" s="4">
        <f>IFERROR(__xludf.DUMMYFUNCTION("""COMPUTED_VALUE"""),1.2)</f>
        <v>1.2</v>
      </c>
      <c r="F11" s="4">
        <f>IFERROR(__xludf.DUMMYFUNCTION("""COMPUTED_VALUE"""),1.1)</f>
        <v>1.1</v>
      </c>
      <c r="G11" s="1">
        <f>IFERROR(__xludf.DUMMYFUNCTION("""COMPUTED_VALUE"""),3.5)</f>
        <v>3.5</v>
      </c>
      <c r="H11" s="1">
        <f>IFERROR(__xludf.DUMMYFUNCTION("""COMPUTED_VALUE"""),0.0)</f>
        <v>0</v>
      </c>
      <c r="I11" s="1">
        <f>IFERROR(__xludf.DUMMYFUNCTION("""COMPUTED_VALUE"""),0.0)</f>
        <v>0</v>
      </c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6" t="s">
        <v>182</v>
      </c>
      <c r="AA11" s="6">
        <v>63507.0</v>
      </c>
    </row>
    <row r="12">
      <c r="A12" s="6">
        <v>11.0</v>
      </c>
      <c r="B12" s="6" t="s">
        <v>183</v>
      </c>
      <c r="C12" s="3">
        <f>IFERROR(__xludf.DUMMYFUNCTION("""COMPUTED_VALUE"""),0.0)</f>
        <v>0</v>
      </c>
      <c r="D12" s="4">
        <f>IFERROR(__xludf.DUMMYFUNCTION("""COMPUTED_VALUE"""),0.0)</f>
        <v>0</v>
      </c>
      <c r="E12" s="4">
        <f>IFERROR(__xludf.DUMMYFUNCTION("""COMPUTED_VALUE"""),0.0)</f>
        <v>0</v>
      </c>
      <c r="F12" s="4">
        <f>IFERROR(__xludf.DUMMYFUNCTION("""COMPUTED_VALUE"""),0.0)</f>
        <v>0</v>
      </c>
      <c r="G12" s="1">
        <f>IFERROR(__xludf.DUMMYFUNCTION("""COMPUTED_VALUE"""),0.0)</f>
        <v>0</v>
      </c>
      <c r="H12" s="1">
        <f>IFERROR(__xludf.DUMMYFUNCTION("""COMPUTED_VALUE"""),0.0)</f>
        <v>0</v>
      </c>
      <c r="I12" s="1">
        <f>IFERROR(__xludf.DUMMYFUNCTION("""COMPUTED_VALUE"""),0.0)</f>
        <v>0</v>
      </c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6" t="s">
        <v>184</v>
      </c>
      <c r="AA12" s="6">
        <v>63507.0</v>
      </c>
    </row>
    <row r="13">
      <c r="A13" s="6">
        <v>12.0</v>
      </c>
      <c r="B13" s="6" t="s">
        <v>185</v>
      </c>
      <c r="C13" s="3">
        <f>IFERROR(__xludf.DUMMYFUNCTION("""COMPUTED_VALUE"""),3.4)</f>
        <v>3.4</v>
      </c>
      <c r="D13" s="4">
        <f>IFERROR(__xludf.DUMMYFUNCTION("""COMPUTED_VALUE"""),0.0)</f>
        <v>0</v>
      </c>
      <c r="E13" s="4">
        <f>IFERROR(__xludf.DUMMYFUNCTION("""COMPUTED_VALUE"""),0.0)</f>
        <v>0</v>
      </c>
      <c r="F13" s="4">
        <f>IFERROR(__xludf.DUMMYFUNCTION("""COMPUTED_VALUE"""),1.2)</f>
        <v>1.2</v>
      </c>
      <c r="G13" s="1">
        <f>IFERROR(__xludf.DUMMYFUNCTION("""COMPUTED_VALUE"""),0.0)</f>
        <v>0</v>
      </c>
      <c r="H13" s="1">
        <f>IFERROR(__xludf.DUMMYFUNCTION("""COMPUTED_VALUE"""),0.0)</f>
        <v>0</v>
      </c>
      <c r="I13" s="1">
        <f>IFERROR(__xludf.DUMMYFUNCTION("""COMPUTED_VALUE"""),0.0)</f>
        <v>0</v>
      </c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6" t="s">
        <v>186</v>
      </c>
      <c r="AA13" s="6">
        <v>63507.0</v>
      </c>
    </row>
    <row r="14">
      <c r="A14" s="6">
        <v>13.0</v>
      </c>
      <c r="B14" s="6" t="s">
        <v>187</v>
      </c>
      <c r="C14" s="3">
        <f>IFERROR(__xludf.DUMMYFUNCTION("""COMPUTED_VALUE"""),3.71)</f>
        <v>3.71</v>
      </c>
      <c r="D14" s="4">
        <f>IFERROR(__xludf.DUMMYFUNCTION("""COMPUTED_VALUE"""),0.0)</f>
        <v>0</v>
      </c>
      <c r="E14" s="4">
        <f>IFERROR(__xludf.DUMMYFUNCTION("""COMPUTED_VALUE"""),2.4)</f>
        <v>2.4</v>
      </c>
      <c r="F14" s="4">
        <f>IFERROR(__xludf.DUMMYFUNCTION("""COMPUTED_VALUE"""),2.0)</f>
        <v>2</v>
      </c>
      <c r="G14" s="1">
        <f>IFERROR(__xludf.DUMMYFUNCTION("""COMPUTED_VALUE"""),3.3)</f>
        <v>3.3</v>
      </c>
      <c r="H14" s="1">
        <f>IFERROR(__xludf.DUMMYFUNCTION("""COMPUTED_VALUE"""),3.8)</f>
        <v>3.8</v>
      </c>
      <c r="I14" s="1">
        <f>IFERROR(__xludf.DUMMYFUNCTION("""COMPUTED_VALUE"""),0.0)</f>
        <v>0</v>
      </c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6" t="s">
        <v>188</v>
      </c>
      <c r="AA14" s="6">
        <v>63507.0</v>
      </c>
    </row>
    <row r="15">
      <c r="A15" s="6">
        <v>14.0</v>
      </c>
      <c r="B15" s="6" t="s">
        <v>189</v>
      </c>
      <c r="C15" s="3">
        <f>IFERROR(__xludf.DUMMYFUNCTION("""COMPUTED_VALUE"""),4.18)</f>
        <v>4.18</v>
      </c>
      <c r="D15" s="4">
        <f>IFERROR(__xludf.DUMMYFUNCTION("""COMPUTED_VALUE"""),0.0)</f>
        <v>0</v>
      </c>
      <c r="E15" s="4">
        <f>IFERROR(__xludf.DUMMYFUNCTION("""COMPUTED_VALUE"""),3.9)</f>
        <v>3.9</v>
      </c>
      <c r="F15" s="4">
        <f>IFERROR(__xludf.DUMMYFUNCTION("""COMPUTED_VALUE"""),2.6)</f>
        <v>2.6</v>
      </c>
      <c r="G15" s="1">
        <f>IFERROR(__xludf.DUMMYFUNCTION("""COMPUTED_VALUE"""),3.8)</f>
        <v>3.8</v>
      </c>
      <c r="H15" s="1">
        <f>IFERROR(__xludf.DUMMYFUNCTION("""COMPUTED_VALUE"""),3.5)</f>
        <v>3.5</v>
      </c>
      <c r="I15" s="1">
        <f>IFERROR(__xludf.DUMMYFUNCTION("""COMPUTED_VALUE"""),4.5)</f>
        <v>4.5</v>
      </c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6" t="s">
        <v>190</v>
      </c>
      <c r="AA15" s="6">
        <v>63507.0</v>
      </c>
    </row>
    <row r="16">
      <c r="A16" s="6">
        <v>15.0</v>
      </c>
      <c r="B16" s="6" t="s">
        <v>191</v>
      </c>
      <c r="C16" s="3">
        <f>IFERROR(__xludf.DUMMYFUNCTION("""COMPUTED_VALUE"""),5.0)</f>
        <v>5</v>
      </c>
      <c r="D16" s="4">
        <f>IFERROR(__xludf.DUMMYFUNCTION("""COMPUTED_VALUE"""),0.0)</f>
        <v>0</v>
      </c>
      <c r="E16" s="4">
        <f>IFERROR(__xludf.DUMMYFUNCTION("""COMPUTED_VALUE"""),4.6)</f>
        <v>4.6</v>
      </c>
      <c r="F16" s="4">
        <f>IFERROR(__xludf.DUMMYFUNCTION("""COMPUTED_VALUE"""),3.1)</f>
        <v>3.1</v>
      </c>
      <c r="G16" s="1">
        <f>IFERROR(__xludf.DUMMYFUNCTION("""COMPUTED_VALUE"""),4.0)</f>
        <v>4</v>
      </c>
      <c r="H16" s="1">
        <f>IFERROR(__xludf.DUMMYFUNCTION("""COMPUTED_VALUE"""),4.8)</f>
        <v>4.8</v>
      </c>
      <c r="I16" s="1">
        <f>IFERROR(__xludf.DUMMYFUNCTION("""COMPUTED_VALUE"""),4.9)</f>
        <v>4.9</v>
      </c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6" t="s">
        <v>192</v>
      </c>
      <c r="AA16" s="6">
        <v>63507.0</v>
      </c>
    </row>
    <row r="17">
      <c r="C17" s="7"/>
      <c r="D17" s="7"/>
      <c r="E17" s="7"/>
      <c r="F17" s="7"/>
      <c r="G17" s="7"/>
      <c r="H17" s="7"/>
      <c r="I17" s="7"/>
      <c r="J17" s="7"/>
      <c r="K17" s="7"/>
      <c r="L17" s="7"/>
    </row>
    <row r="18">
      <c r="C18" s="7"/>
      <c r="D18" s="7"/>
      <c r="E18" s="7"/>
      <c r="F18" s="7"/>
      <c r="G18" s="7"/>
      <c r="H18" s="7"/>
      <c r="I18" s="7"/>
      <c r="J18" s="7"/>
      <c r="K18" s="7"/>
      <c r="L18" s="7"/>
    </row>
    <row r="19">
      <c r="C19" s="7"/>
      <c r="D19" s="7"/>
      <c r="E19" s="7"/>
      <c r="F19" s="7"/>
      <c r="G19" s="7"/>
      <c r="H19" s="7"/>
      <c r="I19" s="7"/>
      <c r="J19" s="7"/>
      <c r="K19" s="7"/>
      <c r="L19" s="7"/>
    </row>
    <row r="20">
      <c r="C20" s="7"/>
      <c r="D20" s="7"/>
      <c r="E20" s="7"/>
      <c r="F20" s="7"/>
      <c r="G20" s="7"/>
      <c r="H20" s="7"/>
      <c r="I20" s="7"/>
      <c r="J20" s="7"/>
      <c r="K20" s="7"/>
      <c r="L20" s="7"/>
    </row>
    <row r="21">
      <c r="C21" s="7"/>
      <c r="D21" s="7"/>
      <c r="E21" s="7"/>
      <c r="F21" s="7"/>
      <c r="G21" s="7"/>
      <c r="H21" s="7"/>
      <c r="I21" s="7"/>
      <c r="J21" s="7"/>
      <c r="K21" s="7"/>
      <c r="L21" s="7"/>
    </row>
    <row r="22">
      <c r="C22" s="7"/>
      <c r="D22" s="7"/>
      <c r="E22" s="7"/>
      <c r="F22" s="7"/>
      <c r="G22" s="7"/>
      <c r="H22" s="7"/>
      <c r="I22" s="7"/>
      <c r="J22" s="7"/>
      <c r="K22" s="7"/>
      <c r="L22" s="7"/>
    </row>
    <row r="23">
      <c r="C23" s="7"/>
      <c r="D23" s="7"/>
      <c r="E23" s="7"/>
      <c r="F23" s="7"/>
      <c r="G23" s="7"/>
      <c r="H23" s="7"/>
      <c r="I23" s="7"/>
      <c r="J23" s="7"/>
      <c r="K23" s="7"/>
      <c r="L23" s="7"/>
    </row>
    <row r="24">
      <c r="C24" s="7"/>
      <c r="D24" s="7"/>
      <c r="E24" s="7"/>
      <c r="F24" s="7"/>
      <c r="G24" s="7"/>
      <c r="H24" s="7"/>
      <c r="I24" s="7"/>
      <c r="J24" s="7"/>
      <c r="K24" s="7"/>
      <c r="L24" s="7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.13"/>
    <col customWidth="1" min="2" max="2" width="30.5"/>
    <col customWidth="1" min="3" max="25" width="5.13"/>
    <col customWidth="1" min="26" max="26" width="9.63"/>
    <col customWidth="1" min="27" max="27" width="6.5"/>
  </cols>
  <sheetData>
    <row r="1">
      <c r="A1" s="6" t="s">
        <v>0</v>
      </c>
      <c r="B1" s="6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6" t="s">
        <v>25</v>
      </c>
      <c r="AA1" s="6" t="s">
        <v>26</v>
      </c>
    </row>
    <row r="2">
      <c r="A2" s="6">
        <v>1.0</v>
      </c>
      <c r="B2" s="6" t="s">
        <v>193</v>
      </c>
      <c r="C2" s="3">
        <f>IFERROR(__xludf.DUMMYFUNCTION("IMPORTRANGE(""1vS2gE-mc1A6CX14zq-8uhU927dLafFRogBm_03E8occ"",""MAT2_C!C2:L24"")"),3.22)</f>
        <v>3.22</v>
      </c>
      <c r="D2" s="4">
        <f>IFERROR(__xludf.DUMMYFUNCTION("""COMPUTED_VALUE"""),0.020000000000000004)</f>
        <v>0.02</v>
      </c>
      <c r="E2" s="3">
        <f>IFERROR(__xludf.DUMMYFUNCTION("""COMPUTED_VALUE"""),2.4)</f>
        <v>2.4</v>
      </c>
      <c r="F2" s="4">
        <f>IFERROR(__xludf.DUMMYFUNCTION("""COMPUTED_VALUE"""),1.9)</f>
        <v>1.9</v>
      </c>
      <c r="G2" s="1">
        <f>IFERROR(__xludf.DUMMYFUNCTION("""COMPUTED_VALUE"""),4.8)</f>
        <v>4.8</v>
      </c>
      <c r="H2" s="1">
        <f>IFERROR(__xludf.DUMMYFUNCTION("""COMPUTED_VALUE"""),4.5)</f>
        <v>4.5</v>
      </c>
      <c r="I2" s="1">
        <f>IFERROR(__xludf.DUMMYFUNCTION("""COMPUTED_VALUE"""),0.0)</f>
        <v>0</v>
      </c>
      <c r="J2" s="4">
        <f>IFERROR(__xludf.DUMMYFUNCTION("""COMPUTED_VALUE"""),0.1)</f>
        <v>0.1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6" t="s">
        <v>194</v>
      </c>
      <c r="AA2" s="6">
        <v>62529.0</v>
      </c>
    </row>
    <row r="3">
      <c r="A3" s="6">
        <v>2.0</v>
      </c>
      <c r="B3" s="6" t="s">
        <v>195</v>
      </c>
      <c r="C3" s="3">
        <f>IFERROR(__xludf.DUMMYFUNCTION("""COMPUTED_VALUE"""),2.44)</f>
        <v>2.44</v>
      </c>
      <c r="D3" s="4">
        <f>IFERROR(__xludf.DUMMYFUNCTION("""COMPUTED_VALUE"""),0.020000000000000004)</f>
        <v>0.02</v>
      </c>
      <c r="E3" s="3">
        <f>IFERROR(__xludf.DUMMYFUNCTION("""COMPUTED_VALUE"""),2.4)</f>
        <v>2.4</v>
      </c>
      <c r="F3" s="4">
        <f>IFERROR(__xludf.DUMMYFUNCTION("""COMPUTED_VALUE"""),1.6)</f>
        <v>1.6</v>
      </c>
      <c r="G3" s="1">
        <f>IFERROR(__xludf.DUMMYFUNCTION("""COMPUTED_VALUE"""),4.8)</f>
        <v>4.8</v>
      </c>
      <c r="H3" s="1">
        <f>IFERROR(__xludf.DUMMYFUNCTION("""COMPUTED_VALUE"""),4.8)</f>
        <v>4.8</v>
      </c>
      <c r="I3" s="1">
        <f>IFERROR(__xludf.DUMMYFUNCTION("""COMPUTED_VALUE"""),0.0)</f>
        <v>0</v>
      </c>
      <c r="J3" s="4">
        <f>IFERROR(__xludf.DUMMYFUNCTION("""COMPUTED_VALUE"""),0.1)</f>
        <v>0.1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6" t="s">
        <v>196</v>
      </c>
      <c r="AA3" s="6">
        <v>62529.0</v>
      </c>
    </row>
    <row r="4">
      <c r="A4" s="6">
        <v>3.0</v>
      </c>
      <c r="B4" s="6" t="s">
        <v>197</v>
      </c>
      <c r="C4" s="3">
        <f>IFERROR(__xludf.DUMMYFUNCTION("""COMPUTED_VALUE"""),5.0)</f>
        <v>5</v>
      </c>
      <c r="D4" s="4">
        <f>IFERROR(__xludf.DUMMYFUNCTION("""COMPUTED_VALUE"""),0.020000000000000004)</f>
        <v>0.02</v>
      </c>
      <c r="E4" s="3">
        <f>IFERROR(__xludf.DUMMYFUNCTION("""COMPUTED_VALUE"""),2.4)</f>
        <v>2.4</v>
      </c>
      <c r="F4" s="4">
        <f>IFERROR(__xludf.DUMMYFUNCTION("""COMPUTED_VALUE"""),2.5)</f>
        <v>2.5</v>
      </c>
      <c r="G4" s="1">
        <f>IFERROR(__xludf.DUMMYFUNCTION("""COMPUTED_VALUE"""),4.8)</f>
        <v>4.8</v>
      </c>
      <c r="H4" s="1">
        <f>IFERROR(__xludf.DUMMYFUNCTION("""COMPUTED_VALUE"""),4.6)</f>
        <v>4.6</v>
      </c>
      <c r="I4" s="1">
        <f>IFERROR(__xludf.DUMMYFUNCTION("""COMPUTED_VALUE"""),0.0)</f>
        <v>0</v>
      </c>
      <c r="J4" s="4">
        <f>IFERROR(__xludf.DUMMYFUNCTION("""COMPUTED_VALUE"""),0.1)</f>
        <v>0.1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6" t="s">
        <v>198</v>
      </c>
      <c r="AA4" s="6">
        <v>62529.0</v>
      </c>
    </row>
    <row r="5">
      <c r="A5" s="6">
        <v>4.0</v>
      </c>
      <c r="B5" s="6" t="s">
        <v>199</v>
      </c>
      <c r="C5" s="3">
        <f>IFERROR(__xludf.DUMMYFUNCTION("""COMPUTED_VALUE"""),3.64)</f>
        <v>3.64</v>
      </c>
      <c r="D5" s="4">
        <f>IFERROR(__xludf.DUMMYFUNCTION("""COMPUTED_VALUE"""),0.020000000000000004)</f>
        <v>0.02</v>
      </c>
      <c r="E5" s="3">
        <f>IFERROR(__xludf.DUMMYFUNCTION("""COMPUTED_VALUE"""),2.4)</f>
        <v>2.4</v>
      </c>
      <c r="F5" s="4">
        <f>IFERROR(__xludf.DUMMYFUNCTION("""COMPUTED_VALUE"""),2.0)</f>
        <v>2</v>
      </c>
      <c r="G5" s="1">
        <f>IFERROR(__xludf.DUMMYFUNCTION("""COMPUTED_VALUE"""),4.7)</f>
        <v>4.7</v>
      </c>
      <c r="H5" s="1">
        <f>IFERROR(__xludf.DUMMYFUNCTION("""COMPUTED_VALUE"""),4.9)</f>
        <v>4.9</v>
      </c>
      <c r="I5" s="1">
        <f>IFERROR(__xludf.DUMMYFUNCTION("""COMPUTED_VALUE"""),0.0)</f>
        <v>0</v>
      </c>
      <c r="J5" s="4">
        <f>IFERROR(__xludf.DUMMYFUNCTION("""COMPUTED_VALUE"""),0.1)</f>
        <v>0.1</v>
      </c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6" t="s">
        <v>200</v>
      </c>
      <c r="AA5" s="6">
        <v>62529.0</v>
      </c>
    </row>
    <row r="6">
      <c r="A6" s="6">
        <v>5.0</v>
      </c>
      <c r="B6" s="6" t="s">
        <v>201</v>
      </c>
      <c r="C6" s="3">
        <f>IFERROR(__xludf.DUMMYFUNCTION("""COMPUTED_VALUE"""),2.44)</f>
        <v>2.44</v>
      </c>
      <c r="D6" s="4">
        <f>IFERROR(__xludf.DUMMYFUNCTION("""COMPUTED_VALUE"""),0.020000000000000004)</f>
        <v>0.02</v>
      </c>
      <c r="E6" s="3">
        <f>IFERROR(__xludf.DUMMYFUNCTION("""COMPUTED_VALUE"""),2.4)</f>
        <v>2.4</v>
      </c>
      <c r="F6" s="4">
        <f>IFERROR(__xludf.DUMMYFUNCTION("""COMPUTED_VALUE"""),1.6)</f>
        <v>1.6</v>
      </c>
      <c r="G6" s="1">
        <f>IFERROR(__xludf.DUMMYFUNCTION("""COMPUTED_VALUE"""),0.0)</f>
        <v>0</v>
      </c>
      <c r="H6" s="1">
        <f>IFERROR(__xludf.DUMMYFUNCTION("""COMPUTED_VALUE"""),4.8)</f>
        <v>4.8</v>
      </c>
      <c r="I6" s="1">
        <f>IFERROR(__xludf.DUMMYFUNCTION("""COMPUTED_VALUE"""),4.8)</f>
        <v>4.8</v>
      </c>
      <c r="J6" s="4">
        <f>IFERROR(__xludf.DUMMYFUNCTION("""COMPUTED_VALUE"""),0.1)</f>
        <v>0.1</v>
      </c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6" t="s">
        <v>202</v>
      </c>
      <c r="AA6" s="6">
        <v>62529.0</v>
      </c>
    </row>
    <row r="7">
      <c r="A7" s="6">
        <v>6.0</v>
      </c>
      <c r="B7" s="6" t="s">
        <v>203</v>
      </c>
      <c r="C7" s="3">
        <f>IFERROR(__xludf.DUMMYFUNCTION("""COMPUTED_VALUE"""),3.086666666666667)</f>
        <v>3.086666667</v>
      </c>
      <c r="D7" s="4">
        <f>IFERROR(__xludf.DUMMYFUNCTION("""COMPUTED_VALUE"""),0.020000000000000004)</f>
        <v>0.02</v>
      </c>
      <c r="E7" s="3">
        <f>IFERROR(__xludf.DUMMYFUNCTION("""COMPUTED_VALUE"""),3.4)</f>
        <v>3.4</v>
      </c>
      <c r="F7" s="4">
        <f>IFERROR(__xludf.DUMMYFUNCTION("""COMPUTED_VALUE"""),2.1)</f>
        <v>2.1</v>
      </c>
      <c r="G7" s="1">
        <f>IFERROR(__xludf.DUMMYFUNCTION("""COMPUTED_VALUE"""),4.0)</f>
        <v>4</v>
      </c>
      <c r="H7" s="1">
        <f>IFERROR(__xludf.DUMMYFUNCTION("""COMPUTED_VALUE"""),4.5)</f>
        <v>4.5</v>
      </c>
      <c r="I7" s="1">
        <f>IFERROR(__xludf.DUMMYFUNCTION("""COMPUTED_VALUE"""),4.8)</f>
        <v>4.8</v>
      </c>
      <c r="J7" s="4">
        <f>IFERROR(__xludf.DUMMYFUNCTION("""COMPUTED_VALUE"""),0.1)</f>
        <v>0.1</v>
      </c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6" t="s">
        <v>204</v>
      </c>
      <c r="AA7" s="6">
        <v>62529.0</v>
      </c>
    </row>
    <row r="8">
      <c r="A8" s="6">
        <v>7.0</v>
      </c>
      <c r="B8" s="6" t="s">
        <v>205</v>
      </c>
      <c r="C8" s="3">
        <f>IFERROR(__xludf.DUMMYFUNCTION("""COMPUTED_VALUE"""),3.066666666666667)</f>
        <v>3.066666667</v>
      </c>
      <c r="D8" s="4">
        <f>IFERROR(__xludf.DUMMYFUNCTION("""COMPUTED_VALUE"""),0.020000000000000004)</f>
        <v>0.02</v>
      </c>
      <c r="E8" s="3">
        <f>IFERROR(__xludf.DUMMYFUNCTION("""COMPUTED_VALUE"""),3.3)</f>
        <v>3.3</v>
      </c>
      <c r="F8" s="4">
        <f>IFERROR(__xludf.DUMMYFUNCTION("""COMPUTED_VALUE"""),2.1)</f>
        <v>2.1</v>
      </c>
      <c r="G8" s="1">
        <f>IFERROR(__xludf.DUMMYFUNCTION("""COMPUTED_VALUE"""),4.3)</f>
        <v>4.3</v>
      </c>
      <c r="H8" s="1">
        <f>IFERROR(__xludf.DUMMYFUNCTION("""COMPUTED_VALUE"""),4.1)</f>
        <v>4.1</v>
      </c>
      <c r="I8" s="1">
        <f>IFERROR(__xludf.DUMMYFUNCTION("""COMPUTED_VALUE"""),4.6)</f>
        <v>4.6</v>
      </c>
      <c r="J8" s="4">
        <f>IFERROR(__xludf.DUMMYFUNCTION("""COMPUTED_VALUE"""),0.1)</f>
        <v>0.1</v>
      </c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6" t="s">
        <v>206</v>
      </c>
      <c r="AA8" s="6">
        <v>62529.0</v>
      </c>
    </row>
    <row r="9">
      <c r="A9" s="6">
        <v>8.0</v>
      </c>
      <c r="B9" s="6" t="s">
        <v>207</v>
      </c>
      <c r="C9" s="3">
        <f>IFERROR(__xludf.DUMMYFUNCTION("""COMPUTED_VALUE"""),4.946666666666667)</f>
        <v>4.946666667</v>
      </c>
      <c r="D9" s="4">
        <f>IFERROR(__xludf.DUMMYFUNCTION("""COMPUTED_VALUE"""),0.020000000000000004)</f>
        <v>0.02</v>
      </c>
      <c r="E9" s="3">
        <f>IFERROR(__xludf.DUMMYFUNCTION("""COMPUTED_VALUE"""),3.6)</f>
        <v>3.6</v>
      </c>
      <c r="F9" s="4">
        <f>IFERROR(__xludf.DUMMYFUNCTION("""COMPUTED_VALUE"""),2.8)</f>
        <v>2.8</v>
      </c>
      <c r="G9" s="1">
        <f>IFERROR(__xludf.DUMMYFUNCTION("""COMPUTED_VALUE"""),4.8)</f>
        <v>4.8</v>
      </c>
      <c r="H9" s="1">
        <f>IFERROR(__xludf.DUMMYFUNCTION("""COMPUTED_VALUE"""),4.4)</f>
        <v>4.4</v>
      </c>
      <c r="I9" s="1">
        <f>IFERROR(__xludf.DUMMYFUNCTION("""COMPUTED_VALUE"""),5.0)</f>
        <v>5</v>
      </c>
      <c r="J9" s="4">
        <f>IFERROR(__xludf.DUMMYFUNCTION("""COMPUTED_VALUE"""),0.1)</f>
        <v>0.1</v>
      </c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6" t="s">
        <v>208</v>
      </c>
      <c r="AA9" s="6">
        <v>62529.0</v>
      </c>
    </row>
    <row r="10">
      <c r="A10" s="6">
        <v>9.0</v>
      </c>
      <c r="B10" s="6" t="s">
        <v>169</v>
      </c>
      <c r="C10" s="3">
        <f>IFERROR(__xludf.DUMMYFUNCTION("""COMPUTED_VALUE"""),3.3533333333333335)</f>
        <v>3.353333333</v>
      </c>
      <c r="D10" s="4">
        <f>IFERROR(__xludf.DUMMYFUNCTION("""COMPUTED_VALUE"""),0.020000000000000004)</f>
        <v>0.02</v>
      </c>
      <c r="E10" s="3">
        <f>IFERROR(__xludf.DUMMYFUNCTION("""COMPUTED_VALUE"""),2.1)</f>
        <v>2.1</v>
      </c>
      <c r="F10" s="4">
        <f>IFERROR(__xludf.DUMMYFUNCTION("""COMPUTED_VALUE"""),1.8)</f>
        <v>1.8</v>
      </c>
      <c r="G10" s="1">
        <f>IFERROR(__xludf.DUMMYFUNCTION("""COMPUTED_VALUE"""),4.7)</f>
        <v>4.7</v>
      </c>
      <c r="H10" s="1">
        <f>IFERROR(__xludf.DUMMYFUNCTION("""COMPUTED_VALUE"""),3.6)</f>
        <v>3.6</v>
      </c>
      <c r="I10" s="1">
        <f>IFERROR(__xludf.DUMMYFUNCTION("""COMPUTED_VALUE"""),0.0)</f>
        <v>0</v>
      </c>
      <c r="J10" s="4">
        <f>IFERROR(__xludf.DUMMYFUNCTION("""COMPUTED_VALUE"""),0.1)</f>
        <v>0.1</v>
      </c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6" t="s">
        <v>170</v>
      </c>
      <c r="AA10" s="6">
        <v>62529.0</v>
      </c>
    </row>
    <row r="11">
      <c r="A11" s="6">
        <v>10.0</v>
      </c>
      <c r="B11" s="6" t="s">
        <v>209</v>
      </c>
      <c r="C11" s="3">
        <f>IFERROR(__xludf.DUMMYFUNCTION("""COMPUTED_VALUE"""),5.0)</f>
        <v>5</v>
      </c>
      <c r="D11" s="4">
        <f>IFERROR(__xludf.DUMMYFUNCTION("""COMPUTED_VALUE"""),0.020000000000000004)</f>
        <v>0.02</v>
      </c>
      <c r="E11" s="3">
        <f>IFERROR(__xludf.DUMMYFUNCTION("""COMPUTED_VALUE"""),2.3)</f>
        <v>2.3</v>
      </c>
      <c r="F11" s="4">
        <f>IFERROR(__xludf.DUMMYFUNCTION("""COMPUTED_VALUE"""),2.4)</f>
        <v>2.4</v>
      </c>
      <c r="G11" s="1">
        <f>IFERROR(__xludf.DUMMYFUNCTION("""COMPUTED_VALUE"""),4.0)</f>
        <v>4</v>
      </c>
      <c r="H11" s="1">
        <f>IFERROR(__xludf.DUMMYFUNCTION("""COMPUTED_VALUE"""),5.0)</f>
        <v>5</v>
      </c>
      <c r="I11" s="1">
        <f>IFERROR(__xludf.DUMMYFUNCTION("""COMPUTED_VALUE"""),0.0)</f>
        <v>0</v>
      </c>
      <c r="J11" s="4">
        <f>IFERROR(__xludf.DUMMYFUNCTION("""COMPUTED_VALUE"""),0.1)</f>
        <v>0.1</v>
      </c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6" t="s">
        <v>210</v>
      </c>
      <c r="AA11" s="6">
        <v>62529.0</v>
      </c>
    </row>
    <row r="12">
      <c r="A12" s="6">
        <v>11.0</v>
      </c>
      <c r="B12" s="6" t="s">
        <v>211</v>
      </c>
      <c r="C12" s="3">
        <f>IFERROR(__xludf.DUMMYFUNCTION("""COMPUTED_VALUE"""),4.153333333333333)</f>
        <v>4.153333333</v>
      </c>
      <c r="D12" s="4">
        <f>IFERROR(__xludf.DUMMYFUNCTION("""COMPUTED_VALUE"""),0.020000000000000004)</f>
        <v>0.02</v>
      </c>
      <c r="E12" s="3">
        <f>IFERROR(__xludf.DUMMYFUNCTION("""COMPUTED_VALUE"""),2.5)</f>
        <v>2.5</v>
      </c>
      <c r="F12" s="4">
        <f>IFERROR(__xludf.DUMMYFUNCTION("""COMPUTED_VALUE"""),2.2)</f>
        <v>2.2</v>
      </c>
      <c r="G12" s="1">
        <f>IFERROR(__xludf.DUMMYFUNCTION("""COMPUTED_VALUE"""),4.8)</f>
        <v>4.8</v>
      </c>
      <c r="H12" s="1">
        <f>IFERROR(__xludf.DUMMYFUNCTION("""COMPUTED_VALUE"""),0.0)</f>
        <v>0</v>
      </c>
      <c r="I12" s="1">
        <f>IFERROR(__xludf.DUMMYFUNCTION("""COMPUTED_VALUE"""),5.0)</f>
        <v>5</v>
      </c>
      <c r="J12" s="4">
        <f>IFERROR(__xludf.DUMMYFUNCTION("""COMPUTED_VALUE"""),0.1)</f>
        <v>0.1</v>
      </c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6" t="s">
        <v>212</v>
      </c>
      <c r="AA12" s="6">
        <v>62529.0</v>
      </c>
    </row>
    <row r="13">
      <c r="A13" s="6">
        <v>12.0</v>
      </c>
      <c r="B13" s="6" t="s">
        <v>213</v>
      </c>
      <c r="C13" s="3">
        <f>IFERROR(__xludf.DUMMYFUNCTION("""COMPUTED_VALUE"""),5.0)</f>
        <v>5</v>
      </c>
      <c r="D13" s="4">
        <f>IFERROR(__xludf.DUMMYFUNCTION("""COMPUTED_VALUE"""),0.020000000000000004)</f>
        <v>0.02</v>
      </c>
      <c r="E13" s="3">
        <f>IFERROR(__xludf.DUMMYFUNCTION("""COMPUTED_VALUE"""),2.5)</f>
        <v>2.5</v>
      </c>
      <c r="F13" s="4">
        <f>IFERROR(__xludf.DUMMYFUNCTION("""COMPUTED_VALUE"""),2.5)</f>
        <v>2.5</v>
      </c>
      <c r="G13" s="1">
        <f>IFERROR(__xludf.DUMMYFUNCTION("""COMPUTED_VALUE"""),4.9)</f>
        <v>4.9</v>
      </c>
      <c r="H13" s="1">
        <f>IFERROR(__xludf.DUMMYFUNCTION("""COMPUTED_VALUE"""),4.8)</f>
        <v>4.8</v>
      </c>
      <c r="I13" s="1">
        <f>IFERROR(__xludf.DUMMYFUNCTION("""COMPUTED_VALUE"""),0.0)</f>
        <v>0</v>
      </c>
      <c r="J13" s="4">
        <f>IFERROR(__xludf.DUMMYFUNCTION("""COMPUTED_VALUE"""),0.1)</f>
        <v>0.1</v>
      </c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6" t="s">
        <v>214</v>
      </c>
      <c r="AA13" s="6">
        <v>62529.0</v>
      </c>
    </row>
    <row r="14">
      <c r="A14" s="6">
        <v>13.0</v>
      </c>
      <c r="B14" s="6" t="s">
        <v>215</v>
      </c>
      <c r="C14" s="3">
        <f>IFERROR(__xludf.DUMMYFUNCTION("""COMPUTED_VALUE"""),3.986666666666667)</f>
        <v>3.986666667</v>
      </c>
      <c r="D14" s="4">
        <f>IFERROR(__xludf.DUMMYFUNCTION("""COMPUTED_VALUE"""),0.020000000000000004)</f>
        <v>0.02</v>
      </c>
      <c r="E14" s="3">
        <f>IFERROR(__xludf.DUMMYFUNCTION("""COMPUTED_VALUE"""),3.0)</f>
        <v>3</v>
      </c>
      <c r="F14" s="4">
        <f>IFERROR(__xludf.DUMMYFUNCTION("""COMPUTED_VALUE"""),2.3)</f>
        <v>2.3</v>
      </c>
      <c r="G14" s="1">
        <f>IFERROR(__xludf.DUMMYFUNCTION("""COMPUTED_VALUE"""),4.0)</f>
        <v>4</v>
      </c>
      <c r="H14" s="1">
        <f>IFERROR(__xludf.DUMMYFUNCTION("""COMPUTED_VALUE"""),3.5)</f>
        <v>3.5</v>
      </c>
      <c r="I14" s="1">
        <f>IFERROR(__xludf.DUMMYFUNCTION("""COMPUTED_VALUE"""),4.3)</f>
        <v>4.3</v>
      </c>
      <c r="J14" s="4">
        <f>IFERROR(__xludf.DUMMYFUNCTION("""COMPUTED_VALUE"""),0.1)</f>
        <v>0.1</v>
      </c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6" t="s">
        <v>216</v>
      </c>
      <c r="AA14" s="6">
        <v>62529.0</v>
      </c>
    </row>
    <row r="15">
      <c r="A15" s="6">
        <v>14.0</v>
      </c>
      <c r="B15" s="6" t="s">
        <v>217</v>
      </c>
      <c r="C15" s="3">
        <f>IFERROR(__xludf.DUMMYFUNCTION("""COMPUTED_VALUE"""),3.1133333333333333)</f>
        <v>3.113333333</v>
      </c>
      <c r="D15" s="4">
        <f>IFERROR(__xludf.DUMMYFUNCTION("""COMPUTED_VALUE"""),0.020000000000000004)</f>
        <v>0.02</v>
      </c>
      <c r="E15" s="3">
        <f>IFERROR(__xludf.DUMMYFUNCTION("""COMPUTED_VALUE"""),3.5)</f>
        <v>3.5</v>
      </c>
      <c r="F15" s="4">
        <f>IFERROR(__xludf.DUMMYFUNCTION("""COMPUTED_VALUE"""),2.1)</f>
        <v>2.1</v>
      </c>
      <c r="G15" s="1">
        <f>IFERROR(__xludf.DUMMYFUNCTION("""COMPUTED_VALUE"""),4.8)</f>
        <v>4.8</v>
      </c>
      <c r="H15" s="1">
        <f>IFERROR(__xludf.DUMMYFUNCTION("""COMPUTED_VALUE"""),4.4)</f>
        <v>4.4</v>
      </c>
      <c r="I15" s="1">
        <f>IFERROR(__xludf.DUMMYFUNCTION("""COMPUTED_VALUE"""),4.5)</f>
        <v>4.5</v>
      </c>
      <c r="J15" s="4">
        <f>IFERROR(__xludf.DUMMYFUNCTION("""COMPUTED_VALUE"""),0.1)</f>
        <v>0.1</v>
      </c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6" t="s">
        <v>218</v>
      </c>
      <c r="AA15" s="6">
        <v>62529.0</v>
      </c>
    </row>
    <row r="16">
      <c r="A16" s="6">
        <v>15.0</v>
      </c>
      <c r="B16" s="6" t="s">
        <v>219</v>
      </c>
      <c r="C16" s="3">
        <f>IFERROR(__xludf.DUMMYFUNCTION("""COMPUTED_VALUE"""),3.66)</f>
        <v>3.66</v>
      </c>
      <c r="D16" s="4">
        <f>IFERROR(__xludf.DUMMYFUNCTION("""COMPUTED_VALUE"""),0.020000000000000004)</f>
        <v>0.02</v>
      </c>
      <c r="E16" s="3">
        <f>IFERROR(__xludf.DUMMYFUNCTION("""COMPUTED_VALUE"""),2.5)</f>
        <v>2.5</v>
      </c>
      <c r="F16" s="4">
        <f>IFERROR(__xludf.DUMMYFUNCTION("""COMPUTED_VALUE"""),2.0)</f>
        <v>2</v>
      </c>
      <c r="G16" s="1">
        <f>IFERROR(__xludf.DUMMYFUNCTION("""COMPUTED_VALUE"""),4.9)</f>
        <v>4.9</v>
      </c>
      <c r="H16" s="1">
        <f>IFERROR(__xludf.DUMMYFUNCTION("""COMPUTED_VALUE"""),0.0)</f>
        <v>0</v>
      </c>
      <c r="I16" s="1">
        <f>IFERROR(__xludf.DUMMYFUNCTION("""COMPUTED_VALUE"""),5.0)</f>
        <v>5</v>
      </c>
      <c r="J16" s="4">
        <f>IFERROR(__xludf.DUMMYFUNCTION("""COMPUTED_VALUE"""),0.1)</f>
        <v>0.1</v>
      </c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6" t="s">
        <v>220</v>
      </c>
      <c r="AA16" s="6">
        <v>62529.0</v>
      </c>
    </row>
    <row r="17">
      <c r="A17" s="6">
        <v>16.0</v>
      </c>
      <c r="B17" s="6" t="s">
        <v>221</v>
      </c>
      <c r="C17" s="3">
        <f>IFERROR(__xludf.DUMMYFUNCTION("""COMPUTED_VALUE"""),3.3200000000000003)</f>
        <v>3.32</v>
      </c>
      <c r="D17" s="4">
        <f>IFERROR(__xludf.DUMMYFUNCTION("""COMPUTED_VALUE"""),0.020000000000000004)</f>
        <v>0.02</v>
      </c>
      <c r="E17" s="3">
        <f>IFERROR(__xludf.DUMMYFUNCTION("""COMPUTED_VALUE"""),2.4)</f>
        <v>2.4</v>
      </c>
      <c r="F17" s="4">
        <f>IFERROR(__xludf.DUMMYFUNCTION("""COMPUTED_VALUE"""),1.9)</f>
        <v>1.9</v>
      </c>
      <c r="G17" s="1">
        <f>IFERROR(__xludf.DUMMYFUNCTION("""COMPUTED_VALUE"""),4.5)</f>
        <v>4.5</v>
      </c>
      <c r="H17" s="1">
        <f>IFERROR(__xludf.DUMMYFUNCTION("""COMPUTED_VALUE"""),4.8)</f>
        <v>4.8</v>
      </c>
      <c r="I17" s="1">
        <f>IFERROR(__xludf.DUMMYFUNCTION("""COMPUTED_VALUE"""),0.0)</f>
        <v>0</v>
      </c>
      <c r="J17" s="4">
        <f>IFERROR(__xludf.DUMMYFUNCTION("""COMPUTED_VALUE"""),0.1)</f>
        <v>0.1</v>
      </c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6" t="s">
        <v>222</v>
      </c>
      <c r="AA17" s="6">
        <v>62529.0</v>
      </c>
    </row>
    <row r="18">
      <c r="A18" s="6">
        <v>17.0</v>
      </c>
      <c r="B18" s="6" t="s">
        <v>223</v>
      </c>
      <c r="C18" s="3">
        <f>IFERROR(__xludf.DUMMYFUNCTION("""COMPUTED_VALUE"""),3.78)</f>
        <v>3.78</v>
      </c>
      <c r="D18" s="4">
        <f>IFERROR(__xludf.DUMMYFUNCTION("""COMPUTED_VALUE"""),0.020000000000000004)</f>
        <v>0.02</v>
      </c>
      <c r="E18" s="3">
        <f>IFERROR(__xludf.DUMMYFUNCTION("""COMPUTED_VALUE"""),3.7)</f>
        <v>3.7</v>
      </c>
      <c r="F18" s="4">
        <f>IFERROR(__xludf.DUMMYFUNCTION("""COMPUTED_VALUE"""),2.4)</f>
        <v>2.4</v>
      </c>
      <c r="G18" s="1">
        <f>IFERROR(__xludf.DUMMYFUNCTION("""COMPUTED_VALUE"""),4.8)</f>
        <v>4.8</v>
      </c>
      <c r="H18" s="1">
        <f>IFERROR(__xludf.DUMMYFUNCTION("""COMPUTED_VALUE"""),4.9)</f>
        <v>4.9</v>
      </c>
      <c r="I18" s="1">
        <f>IFERROR(__xludf.DUMMYFUNCTION("""COMPUTED_VALUE"""),5.0)</f>
        <v>5</v>
      </c>
      <c r="J18" s="4">
        <f>IFERROR(__xludf.DUMMYFUNCTION("""COMPUTED_VALUE"""),0.1)</f>
        <v>0.1</v>
      </c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6" t="s">
        <v>224</v>
      </c>
      <c r="AA18" s="6">
        <v>62529.0</v>
      </c>
    </row>
    <row r="19">
      <c r="A19" s="6">
        <v>18.0</v>
      </c>
      <c r="B19" s="6" t="s">
        <v>225</v>
      </c>
      <c r="C19" s="3">
        <f>IFERROR(__xludf.DUMMYFUNCTION("""COMPUTED_VALUE"""),0.33333333333333337)</f>
        <v>0.3333333333</v>
      </c>
      <c r="D19" s="4">
        <f>IFERROR(__xludf.DUMMYFUNCTION("""COMPUTED_VALUE"""),0.020000000000000004)</f>
        <v>0.02</v>
      </c>
      <c r="E19" s="3">
        <f>IFERROR(__xludf.DUMMYFUNCTION("""COMPUTED_VALUE"""),1.3)</f>
        <v>1.3</v>
      </c>
      <c r="F19" s="4">
        <f>IFERROR(__xludf.DUMMYFUNCTION("""COMPUTED_VALUE"""),0.5)</f>
        <v>0.5</v>
      </c>
      <c r="G19" s="1">
        <f>IFERROR(__xludf.DUMMYFUNCTION("""COMPUTED_VALUE"""),0.0)</f>
        <v>0</v>
      </c>
      <c r="H19" s="1">
        <f>IFERROR(__xludf.DUMMYFUNCTION("""COMPUTED_VALUE"""),5.0)</f>
        <v>5</v>
      </c>
      <c r="I19" s="1">
        <f>IFERROR(__xludf.DUMMYFUNCTION("""COMPUTED_VALUE"""),0.0)</f>
        <v>0</v>
      </c>
      <c r="J19" s="4">
        <f>IFERROR(__xludf.DUMMYFUNCTION("""COMPUTED_VALUE"""),0.1)</f>
        <v>0.1</v>
      </c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6" t="s">
        <v>226</v>
      </c>
      <c r="AA19" s="6">
        <v>62529.0</v>
      </c>
    </row>
    <row r="20">
      <c r="A20" s="6">
        <v>19.0</v>
      </c>
      <c r="B20" s="6" t="s">
        <v>227</v>
      </c>
      <c r="C20" s="3">
        <f>IFERROR(__xludf.DUMMYFUNCTION("""COMPUTED_VALUE"""),2.4266666666666667)</f>
        <v>2.426666667</v>
      </c>
      <c r="D20" s="4">
        <f>IFERROR(__xludf.DUMMYFUNCTION("""COMPUTED_VALUE"""),0.020000000000000004)</f>
        <v>0.02</v>
      </c>
      <c r="E20" s="3">
        <f>IFERROR(__xludf.DUMMYFUNCTION("""COMPUTED_VALUE"""),2.4)</f>
        <v>2.4</v>
      </c>
      <c r="F20" s="4">
        <f>IFERROR(__xludf.DUMMYFUNCTION("""COMPUTED_VALUE"""),1.6)</f>
        <v>1.6</v>
      </c>
      <c r="G20" s="1">
        <f>IFERROR(__xludf.DUMMYFUNCTION("""COMPUTED_VALUE"""),0.0)</f>
        <v>0</v>
      </c>
      <c r="H20" s="1">
        <f>IFERROR(__xludf.DUMMYFUNCTION("""COMPUTED_VALUE"""),4.6)</f>
        <v>4.6</v>
      </c>
      <c r="I20" s="1">
        <f>IFERROR(__xludf.DUMMYFUNCTION("""COMPUTED_VALUE"""),4.8)</f>
        <v>4.8</v>
      </c>
      <c r="J20" s="4">
        <f>IFERROR(__xludf.DUMMYFUNCTION("""COMPUTED_VALUE"""),0.1)</f>
        <v>0.1</v>
      </c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6" t="s">
        <v>228</v>
      </c>
      <c r="AA20" s="6">
        <v>62529.0</v>
      </c>
    </row>
    <row r="21">
      <c r="A21" s="6">
        <v>20.0</v>
      </c>
      <c r="B21" s="6" t="s">
        <v>229</v>
      </c>
      <c r="C21" s="3">
        <f>IFERROR(__xludf.DUMMYFUNCTION("""COMPUTED_VALUE"""),3.6066666666666665)</f>
        <v>3.606666667</v>
      </c>
      <c r="D21" s="4">
        <f>IFERROR(__xludf.DUMMYFUNCTION("""COMPUTED_VALUE"""),0.020000000000000004)</f>
        <v>0.02</v>
      </c>
      <c r="E21" s="3">
        <f>IFERROR(__xludf.DUMMYFUNCTION("""COMPUTED_VALUE"""),2.3)</f>
        <v>2.3</v>
      </c>
      <c r="F21" s="4">
        <f>IFERROR(__xludf.DUMMYFUNCTION("""COMPUTED_VALUE"""),2.0)</f>
        <v>2</v>
      </c>
      <c r="G21" s="1">
        <f>IFERROR(__xludf.DUMMYFUNCTION("""COMPUTED_VALUE"""),0.0)</f>
        <v>0</v>
      </c>
      <c r="H21" s="1">
        <f>IFERROR(__xludf.DUMMYFUNCTION("""COMPUTED_VALUE"""),4.1)</f>
        <v>4.1</v>
      </c>
      <c r="I21" s="1">
        <f>IFERROR(__xludf.DUMMYFUNCTION("""COMPUTED_VALUE"""),5.0)</f>
        <v>5</v>
      </c>
      <c r="J21" s="4">
        <f>IFERROR(__xludf.DUMMYFUNCTION("""COMPUTED_VALUE"""),0.1)</f>
        <v>0.1</v>
      </c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6" t="s">
        <v>230</v>
      </c>
      <c r="AA21" s="6">
        <v>62529.0</v>
      </c>
    </row>
    <row r="22">
      <c r="A22" s="6">
        <v>21.0</v>
      </c>
      <c r="B22" s="6" t="s">
        <v>231</v>
      </c>
      <c r="C22" s="3">
        <f>IFERROR(__xludf.DUMMYFUNCTION("""COMPUTED_VALUE"""),3.6333333333333333)</f>
        <v>3.633333333</v>
      </c>
      <c r="D22" s="4">
        <f>IFERROR(__xludf.DUMMYFUNCTION("""COMPUTED_VALUE"""),0.020000000000000004)</f>
        <v>0.02</v>
      </c>
      <c r="E22" s="3">
        <f>IFERROR(__xludf.DUMMYFUNCTION("""COMPUTED_VALUE"""),2.4)</f>
        <v>2.4</v>
      </c>
      <c r="F22" s="4">
        <f>IFERROR(__xludf.DUMMYFUNCTION("""COMPUTED_VALUE"""),2.0)</f>
        <v>2</v>
      </c>
      <c r="G22" s="1">
        <f>IFERROR(__xludf.DUMMYFUNCTION("""COMPUTED_VALUE"""),4.7)</f>
        <v>4.7</v>
      </c>
      <c r="H22" s="1">
        <f>IFERROR(__xludf.DUMMYFUNCTION("""COMPUTED_VALUE"""),0.0)</f>
        <v>0</v>
      </c>
      <c r="I22" s="1">
        <f>IFERROR(__xludf.DUMMYFUNCTION("""COMPUTED_VALUE"""),4.8)</f>
        <v>4.8</v>
      </c>
      <c r="J22" s="4">
        <f>IFERROR(__xludf.DUMMYFUNCTION("""COMPUTED_VALUE"""),0.1)</f>
        <v>0.1</v>
      </c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6" t="s">
        <v>232</v>
      </c>
      <c r="AA22" s="6">
        <v>62529.0</v>
      </c>
    </row>
    <row r="23"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C24" s="7"/>
      <c r="D24" s="7"/>
      <c r="E24" s="7"/>
      <c r="F24" s="7"/>
      <c r="G24" s="7"/>
      <c r="H24" s="7"/>
      <c r="I24" s="7"/>
      <c r="J24" s="7"/>
      <c r="K24" s="7"/>
      <c r="L24" s="7"/>
    </row>
  </sheetData>
  <drawing r:id="rId1"/>
</worksheet>
</file>