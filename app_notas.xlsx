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RC55581" sheetId="1" r:id="rId5"/>
    <sheet state="visible" name="NRC60299" sheetId="2" r:id="rId6"/>
    <sheet state="visible" name="NRC55546" sheetId="3" r:id="rId7"/>
    <sheet state="visible" name="NRC62529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">
      <text>
        <t xml:space="preserve">Quiz en Tema áreas y excedentes</t>
      </text>
    </comment>
    <comment authorId="0" ref="U1">
      <text>
        <t xml:space="preserve">Quiz escrito Derivadas parciales</t>
      </text>
    </comment>
    <comment authorId="0" ref="V1">
      <text>
        <t xml:space="preserve">Trabajo aplicaciones derivadas parciales</t>
      </text>
    </comment>
    <comment authorId="0" ref="G1">
      <text>
        <t xml:space="preserve">Taller de reglas de derivadas</t>
      </text>
    </comment>
    <comment authorId="0" ref="W1">
      <text>
        <t xml:space="preserve">Trabajo parcial final</t>
      </text>
    </comment>
    <comment authorId="0" ref="H1">
      <text>
        <t xml:space="preserve">Taller 2 de integrales sustitución</t>
      </text>
    </comment>
    <comment authorId="0" ref="I1">
      <text>
        <t xml:space="preserve">Trabajo 2 de integrales dia del parcial</t>
      </text>
    </comment>
    <comment authorId="0" ref="J1">
      <text>
        <t xml:space="preserve">taller int indefinida</t>
      </text>
    </comment>
    <comment authorId="0" ref="K1">
      <text>
        <t xml:space="preserve">taller int sustitucion</t>
      </text>
    </comment>
    <comment authorId="0" ref="L1">
      <text>
        <t xml:space="preserve">taller int definida</t>
      </text>
    </comment>
    <comment authorId="0" ref="M1">
      <text>
        <t xml:space="preserve">Taller escrito areas entre curvas
</t>
      </text>
    </comment>
  </commentList>
</comments>
</file>

<file path=xl/sharedStrings.xml><?xml version="1.0" encoding="utf-8"?>
<sst xmlns="http://schemas.openxmlformats.org/spreadsheetml/2006/main" count="85" uniqueCount="79">
  <si>
    <t>No</t>
  </si>
  <si>
    <t>NOMBRE</t>
  </si>
  <si>
    <t>ARGUELLO ALBARRACIN, SILVIA S.</t>
  </si>
  <si>
    <t>AMAYA CORZO, LUIS M.</t>
  </si>
  <si>
    <t>BENAVIDES REATEGUI, JHONAIKEL E.</t>
  </si>
  <si>
    <t>ACOSTA NIETO, JUAN D.</t>
  </si>
  <si>
    <t>BENAVIDES MORALES, DANIEL E.</t>
  </si>
  <si>
    <t>DEVIA RAMIREZ, THALIANA A.</t>
  </si>
  <si>
    <t>CAMACHO AMADO, VALENTINA</t>
  </si>
  <si>
    <t>ARIAS LOPEZ, JUAN F.</t>
  </si>
  <si>
    <t>ALVAREZ IBAÑEZ, GIOVANNY A.</t>
  </si>
  <si>
    <t>GOMEZ CARRION, EILEEN S.</t>
  </si>
  <si>
    <t>CAMACHO GUTIERREZ, VALENTINA</t>
  </si>
  <si>
    <t>CARVAJAL FLOREZ, GERMAN A.</t>
  </si>
  <si>
    <t>ANAYA ISAZA, MARIA D.</t>
  </si>
  <si>
    <t>CAMACHO PINZON, JUAN D</t>
  </si>
  <si>
    <t>GRANADOS MORA, JUAN D.</t>
  </si>
  <si>
    <t>CORREA CALDERON, MARIA P.</t>
  </si>
  <si>
    <t>CASTILLO DIAZ, ANGIE N.</t>
  </si>
  <si>
    <t>ARGUELLO DIAZ, SARA Y.</t>
  </si>
  <si>
    <t>GUZMAN SOLANO, HANNAK L.</t>
  </si>
  <si>
    <t>FLOREZ FLOREZ, JOSE J.</t>
  </si>
  <si>
    <t>BAYONA DIAZ, SARA S.</t>
  </si>
  <si>
    <t>CIFUENTES JEREZ, MELANIE</t>
  </si>
  <si>
    <t>GUTIERREZ FEO, JANA</t>
  </si>
  <si>
    <t>MADRID BLANCO, JUAN M.</t>
  </si>
  <si>
    <t>DURAN RANGEL, DANIELA</t>
  </si>
  <si>
    <t>MANTILLA DELGADO, ANDRES F.</t>
  </si>
  <si>
    <t>DELGADO NUÑEZ, JUAN S.</t>
  </si>
  <si>
    <t>MENDEZ VILLAR, MARIA C.</t>
  </si>
  <si>
    <t>FEREZ CUESTA, DAVID</t>
  </si>
  <si>
    <t>MANTILLA VILLAMIZAR, MARIA V.</t>
  </si>
  <si>
    <t>OSORIO CASTAÑEDA, LUISA F.</t>
  </si>
  <si>
    <t>DIAZ MENESES, ANDRES F.</t>
  </si>
  <si>
    <t>GOMEZ CHAPARRO, MIGUEL S.</t>
  </si>
  <si>
    <t>OSORIO GRANDA, YESENIA A.</t>
  </si>
  <si>
    <t>MATHEUS GOMEZ, VALERIA A.</t>
  </si>
  <si>
    <t>HERNANDEZ HERNANDEZ, CAMILO A.</t>
  </si>
  <si>
    <t>OSORIO LEON, JUAN E.</t>
  </si>
  <si>
    <t>NIÑO LEON, YANGELS D.</t>
  </si>
  <si>
    <t>LEON ARAGON, MARIA F.</t>
  </si>
  <si>
    <t>HERNANDEZ JAIMES, DANIEL F.</t>
  </si>
  <si>
    <t>QUINTERO GUARIN, JUAN D.</t>
  </si>
  <si>
    <t>PEREZ PRADA, VALENTINA</t>
  </si>
  <si>
    <t>LINARES MORANTES, JAVIER A.</t>
  </si>
  <si>
    <t>HERNANDEZ MORALES, JAVIER I.</t>
  </si>
  <si>
    <t>TARAZONA GUTIERREZ, JUAN C.</t>
  </si>
  <si>
    <t>PRADA CARO, JULIETH C.</t>
  </si>
  <si>
    <t>REATEGUI NIÑO, YARELI M.</t>
  </si>
  <si>
    <t>MANCILLA MORENO, SANTIAGO</t>
  </si>
  <si>
    <t>JACOME REYES, ALEJANDRO</t>
  </si>
  <si>
    <t>SAAVEDRA MORALES, LAURA D.</t>
  </si>
  <si>
    <t>MARTINEZ DIAZ, CIELO S.</t>
  </si>
  <si>
    <t>MENESES MATEUS, VALENTINA</t>
  </si>
  <si>
    <t>SILVA CAMAÑO, GREEIZY D.</t>
  </si>
  <si>
    <t>MENDOZA VILLABONA, JULIAN D.</t>
  </si>
  <si>
    <t>SUAREZ NIÑO, CAMILO A.</t>
  </si>
  <si>
    <t>MONTERO HERNANDEZ, DIEGO A.</t>
  </si>
  <si>
    <t>MOGOLLON BECERRA, ADRIANA S.</t>
  </si>
  <si>
    <t>SUAREZ PARRA, MARLY J.</t>
  </si>
  <si>
    <t>ORTIZ RANGEL, MARIA P.</t>
  </si>
  <si>
    <t>SUAREZ ROJAS, JERONIMO.</t>
  </si>
  <si>
    <t>MUÑOZ BARRIOS, MARIANNA</t>
  </si>
  <si>
    <t>PALLARES VIANA, ALVARO A.</t>
  </si>
  <si>
    <t>VALBUENA ANACONA, ELIZABETH</t>
  </si>
  <si>
    <t>OLARTE VALBUENA, KEVIN S.</t>
  </si>
  <si>
    <t>PARDO ORTIZ, MARIA J.</t>
  </si>
  <si>
    <t>VEGA AYALA, JULIANY L.</t>
  </si>
  <si>
    <t>PEDREROS VILLAMIZAR, EDWIN A.</t>
  </si>
  <si>
    <t>SANTAMARIA LESMES, MARIA P.</t>
  </si>
  <si>
    <t>PRADA REY, RICARDO A.</t>
  </si>
  <si>
    <t>VILLAMIZAR NAVARRO, JUAN J.</t>
  </si>
  <si>
    <t>RINCON NIEVES, JERONIMO</t>
  </si>
  <si>
    <t>RODAS BELLO, VALERIA</t>
  </si>
  <si>
    <t>RODRIGUEZ DURAN, SANTIAGO</t>
  </si>
  <si>
    <t>SANCHEZ OSORIO, KAROL B.</t>
  </si>
  <si>
    <t>SANTOS AVILA, HOLGER F.</t>
  </si>
  <si>
    <t>SUAREZ PAVA, MARIA P.</t>
  </si>
  <si>
    <t>VARGAS PEDRAZA, MARIA 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</si>
</sst>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b/>
      <color rgb="FF0000FF"/>
      <name val="Arial"/>
      <scheme val="minor"/>
    </font>
    <font>
      <b/>
      <color rgb="FF9900FF"/>
      <name val="Arial"/>
      <scheme val="minor"/>
    </font>
    <font>
      <b/>
      <color rgb="FFFF0000"/>
      <name val="Arial"/>
      <scheme val="minor"/>
    </font>
    <font>
      <b/>
      <color rgb="FF980000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CFE2F3"/>
        <bgColor rgb="FFCFE2F3"/>
      </patternFill>
    </fill>
    <fill>
      <patternFill patternType="solid">
        <fgColor rgb="FFD5A6BD"/>
        <bgColor rgb="FFD5A6BD"/>
      </patternFill>
    </fill>
    <fill>
      <patternFill patternType="solid">
        <fgColor rgb="FF6FA8DC"/>
        <bgColor rgb="FF6FA8DC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vertical="bottom"/>
    </xf>
    <xf borderId="0" fillId="0" fontId="3" numFmtId="0" xfId="0" applyAlignment="1" applyFont="1">
      <alignment readingOrder="0"/>
    </xf>
    <xf borderId="0" fillId="3" fontId="2" numFmtId="164" xfId="0" applyAlignment="1" applyFill="1" applyFont="1" applyNumberFormat="1">
      <alignment horizontal="center" vertical="bottom"/>
    </xf>
    <xf borderId="0" fillId="4" fontId="2" numFmtId="164" xfId="0" applyAlignment="1" applyFill="1" applyFont="1" applyNumberFormat="1">
      <alignment horizontal="center" vertical="bottom"/>
    </xf>
    <xf borderId="0" fillId="5" fontId="2" numFmtId="0" xfId="0" applyAlignment="1" applyFill="1" applyFont="1">
      <alignment horizontal="center" vertical="bottom"/>
    </xf>
    <xf borderId="0" fillId="6" fontId="2" numFmtId="0" xfId="0" applyAlignment="1" applyFill="1" applyFont="1">
      <alignment horizontal="center" vertical="bottom"/>
    </xf>
    <xf borderId="0" fillId="7" fontId="2" numFmtId="0" xfId="0" applyAlignment="1" applyFill="1" applyFont="1">
      <alignment horizontal="center" vertical="bottom"/>
    </xf>
    <xf borderId="0" fillId="8" fontId="3" numFmtId="0" xfId="0" applyAlignment="1" applyFill="1" applyFont="1">
      <alignment horizontal="center" readingOrder="0"/>
    </xf>
    <xf borderId="0" fillId="9" fontId="2" numFmtId="0" xfId="0" applyAlignment="1" applyFill="1" applyFont="1">
      <alignment horizontal="center" vertical="bottom"/>
    </xf>
    <xf borderId="0" fillId="0" fontId="3" numFmtId="0" xfId="0" applyAlignment="1" applyFont="1">
      <alignment horizontal="center" readingOrder="0"/>
    </xf>
    <xf borderId="0" fillId="10" fontId="2" numFmtId="164" xfId="0" applyAlignment="1" applyFill="1" applyFont="1" applyNumberFormat="1">
      <alignment horizontal="center" vertical="bottom"/>
    </xf>
    <xf borderId="0" fillId="7" fontId="3" numFmtId="164" xfId="0" applyAlignment="1" applyFill="1" applyFont="1" applyNumberForma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11" fontId="2" numFmtId="0" xfId="0" applyAlignment="1" applyFill="1" applyFont="1">
      <alignment horizontal="center" vertical="bottom"/>
    </xf>
    <xf borderId="0" fillId="4" fontId="3" numFmtId="0" xfId="0" applyAlignment="1" applyFill="1" applyFont="1">
      <alignment horizontal="center" readingOrder="0"/>
    </xf>
    <xf borderId="0" fillId="12" fontId="2" numFmtId="0" xfId="0" applyAlignment="1" applyFill="1" applyFont="1">
      <alignment horizontal="center" vertical="bottom"/>
    </xf>
    <xf borderId="0" fillId="5" fontId="3" numFmtId="0" xfId="0" applyAlignment="1" applyFill="1" applyFont="1">
      <alignment horizontal="center" readingOrder="0"/>
    </xf>
    <xf borderId="0" fillId="13" fontId="3" numFmtId="0" xfId="0" applyAlignment="1" applyFill="1" applyFont="1">
      <alignment horizontal="center" readingOrder="0"/>
    </xf>
    <xf borderId="0" fillId="14" fontId="2" numFmtId="0" xfId="0" applyAlignment="1" applyFill="1" applyFont="1">
      <alignment horizontal="center" vertical="bottom"/>
    </xf>
    <xf borderId="0" fillId="15" fontId="2" numFmtId="0" xfId="0" applyAlignment="1" applyFill="1" applyFont="1">
      <alignment horizontal="center" vertical="bottom"/>
    </xf>
    <xf borderId="0" fillId="16" fontId="3" numFmtId="0" xfId="0" applyAlignment="1" applyFill="1" applyFont="1">
      <alignment horizontal="center" readingOrder="0"/>
    </xf>
    <xf borderId="0" fillId="9" fontId="3" numFmtId="0" xfId="0" applyAlignment="1" applyFill="1" applyFont="1">
      <alignment horizontal="center" readingOrder="0"/>
    </xf>
    <xf borderId="0" fillId="17" fontId="2" numFmtId="0" xfId="0" applyAlignment="1" applyFill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10" fontId="3" numFmtId="0" xfId="0" applyAlignment="1" applyFill="1" applyFont="1">
      <alignment horizontal="center" readingOrder="0"/>
    </xf>
    <xf borderId="0" fillId="0" fontId="4" numFmtId="0" xfId="0" applyAlignment="1" applyFont="1">
      <alignment vertical="bottom"/>
    </xf>
    <xf borderId="0" fillId="11" fontId="3" numFmtId="0" xfId="0" applyAlignment="1" applyFill="1" applyFont="1">
      <alignment horizontal="center" readingOrder="0"/>
    </xf>
    <xf borderId="0" fillId="12" fontId="3" numFmtId="0" xfId="0" applyAlignment="1" applyFill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17" fontId="3" numFmtId="0" xfId="0" applyAlignment="1" applyFill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3" numFmtId="0" xfId="0" applyFont="1"/>
    <xf borderId="0" fillId="0" fontId="1" numFmtId="0" xfId="0" applyAlignment="1" applyFont="1">
      <alignment horizontal="center"/>
    </xf>
    <xf borderId="0" fillId="0" fontId="8" numFmtId="164" xfId="0" applyAlignment="1" applyFont="1" applyNumberFormat="1">
      <alignment horizontal="center"/>
    </xf>
    <xf borderId="0" fillId="0" fontId="7" numFmtId="0" xfId="0" applyAlignment="1" applyFont="1">
      <alignment horizontal="center"/>
    </xf>
    <xf borderId="0" fillId="18" fontId="4" numFmtId="0" xfId="0" applyAlignment="1" applyFill="1" applyFont="1">
      <alignment vertical="bottom"/>
    </xf>
    <xf borderId="0" fillId="18" fontId="5" numFmtId="0" xfId="0" applyAlignment="1" applyFill="1" applyFont="1">
      <alignment horizontal="center" readingOrder="0"/>
    </xf>
    <xf borderId="0" fillId="18" fontId="5" numFmtId="0" xfId="0" applyAlignment="1" applyFill="1" applyFont="1">
      <alignment horizontal="center"/>
    </xf>
    <xf borderId="0" fillId="18" fontId="3" numFmtId="164" xfId="0" applyAlignment="1" applyFill="1" applyFont="1" applyNumberFormat="1">
      <alignment horizontal="center" readingOrder="0"/>
    </xf>
    <xf borderId="0" fillId="18" fontId="6" numFmtId="0" xfId="0" applyAlignment="1" applyFill="1" applyFont="1">
      <alignment horizontal="center"/>
    </xf>
    <xf borderId="0" fillId="18" fontId="7" numFmtId="0" xfId="0" applyAlignment="1" applyFill="1" applyFont="1">
      <alignment horizontal="center"/>
    </xf>
    <xf borderId="0" fillId="18" fontId="1" numFmtId="0" xfId="0" applyAlignment="1" applyFill="1" applyFont="1">
      <alignment horizontal="center" readingOrder="0"/>
    </xf>
    <xf borderId="0" fillId="18" fontId="1" numFmtId="0" xfId="0" applyAlignment="1" applyFill="1" applyFont="1">
      <alignment horizontal="center"/>
    </xf>
    <xf borderId="0" fillId="18" fontId="8" numFmtId="164" xfId="0" applyAlignment="1" applyFill="1" applyFont="1" applyNumberFormat="1">
      <alignment horizontal="center"/>
    </xf>
    <xf borderId="0" fillId="18" fontId="1" numFmtId="164" xfId="0" applyAlignment="1" applyFill="1" applyFont="1" applyNumberFormat="1">
      <alignment horizontal="center"/>
    </xf>
    <xf borderId="0" fillId="0" fontId="8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31.0"/>
    <col customWidth="1" min="3" max="17" width="5.0"/>
    <col customWidth="1" min="18" max="18" width="6.13"/>
    <col customWidth="1" min="19" max="20" width="4.63"/>
    <col customWidth="1" min="21" max="21" width="9.5"/>
    <col customWidth="1" min="22" max="22" width="5.75"/>
    <col customWidth="1" min="23" max="23" width="11.75"/>
    <col customWidth="1" min="24" max="24" width="5.0"/>
    <col customWidth="1" min="25" max="25" width="9.13"/>
    <col customWidth="1" min="26" max="26" width="9.75"/>
    <col customWidth="1" min="27" max="27" width="6.63"/>
  </cols>
  <sheetData>
    <row r="1">
      <c r="A1" s="3" t="s">
        <v>0</v>
      </c>
      <c r="B1" s="3" t="s">
        <v>1</v>
      </c>
      <c r="C1" s="9" t="str">
        <f>IFERROR(__xludf.DUMMYFUNCTION("IMPORTRANGE(""1QvcJMsMaaauad-YqMjUGwOrUGvFFg3fViYyspGjIz6E"",""CDIF!C1:W20"")"),"P1")</f>
        <v>P1</v>
      </c>
      <c r="D1" s="9" t="str">
        <f>IFERROR(__xludf.DUMMYFUNCTION("""COMPUTED_VALUE"""),"P2")</f>
        <v>P2</v>
      </c>
      <c r="E1" s="13" t="str">
        <f>IFERROR(__xludf.DUMMYFUNCTION("""COMPUTED_VALUE"""),"PQT1")</f>
        <v>PQT1</v>
      </c>
      <c r="F1" s="16" t="str">
        <f>IFERROR(__xludf.DUMMYFUNCTION("""COMPUTED_VALUE"""),"CN")</f>
        <v>CN</v>
      </c>
      <c r="G1" s="18" t="str">
        <f>IFERROR(__xludf.DUMMYFUNCTION("""COMPUTED_VALUE"""),"1CTE")</f>
        <v>1CTE</v>
      </c>
      <c r="H1" s="19" t="str">
        <f>IFERROR(__xludf.DUMMYFUNCTION("""COMPUTED_VALUE"""),"Ta1")</f>
        <v>Ta1</v>
      </c>
      <c r="I1" s="19" t="str">
        <f>IFERROR(__xludf.DUMMYFUNCTION("""COMPUTED_VALUE"""),"Ta2")</f>
        <v>Ta2</v>
      </c>
      <c r="J1" s="19" t="str">
        <f>IFERROR(__xludf.DUMMYFUNCTION("""COMPUTED_VALUE"""),"Ta3")</f>
        <v>Ta3</v>
      </c>
      <c r="K1" s="22" t="str">
        <f>IFERROR(__xludf.DUMMYFUNCTION("""COMPUTED_VALUE"""),"Ta4")</f>
        <v>Ta4</v>
      </c>
      <c r="L1" s="22" t="str">
        <f>IFERROR(__xludf.DUMMYFUNCTION("""COMPUTED_VALUE"""),"Ta5")</f>
        <v>Ta5</v>
      </c>
      <c r="M1" s="9" t="str">
        <f>IFERROR(__xludf.DUMMYFUNCTION("""COMPUTED_VALUE"""),"P3")</f>
        <v>P3</v>
      </c>
      <c r="N1" s="9" t="str">
        <f>IFERROR(__xludf.DUMMYFUNCTION("""COMPUTED_VALUE"""),"P4")</f>
        <v>P4</v>
      </c>
      <c r="O1" s="27" t="str">
        <f>IFERROR(__xludf.DUMMYFUNCTION("""COMPUTED_VALUE"""),"PQT2")</f>
        <v>PQT2</v>
      </c>
      <c r="P1" s="16" t="str">
        <f>IFERROR(__xludf.DUMMYFUNCTION("""COMPUTED_VALUE"""),"PA")</f>
        <v>PA</v>
      </c>
      <c r="Q1" s="30" t="str">
        <f>IFERROR(__xludf.DUMMYFUNCTION("""COMPUTED_VALUE"""),"Q1")</f>
        <v>Q1</v>
      </c>
      <c r="R1" s="30" t="str">
        <f>IFERROR(__xludf.DUMMYFUNCTION("""COMPUTED_VALUE"""),"Q2")</f>
        <v>Q2</v>
      </c>
      <c r="S1" s="30" t="str">
        <f>IFERROR(__xludf.DUMMYFUNCTION("""COMPUTED_VALUE"""),"Ta6")</f>
        <v>Ta6</v>
      </c>
      <c r="T1" s="30" t="str">
        <f>IFERROR(__xludf.DUMMYFUNCTION("""COMPUTED_VALUE"""),"Ta7")</f>
        <v>Ta7</v>
      </c>
      <c r="U1" s="11" t="str">
        <f>IFERROR(__xludf.DUMMYFUNCTION("""COMPUTED_VALUE"""),"2CTE")</f>
        <v>2CTE</v>
      </c>
      <c r="V1" s="11" t="str">
        <f>IFERROR(__xludf.DUMMYFUNCTION("""COMPUTED_VALUE"""),"FINAL")</f>
        <v>FINAL</v>
      </c>
      <c r="W1" s="11" t="str">
        <f>IFERROR(__xludf.DUMMYFUNCTION("""COMPUTED_VALUE"""),"ID")</f>
        <v>ID</v>
      </c>
      <c r="X1" s="11"/>
      <c r="Y1" s="11"/>
    </row>
    <row r="2">
      <c r="A2" s="25">
        <v>1.0</v>
      </c>
      <c r="B2" s="28" t="s">
        <v>3</v>
      </c>
      <c r="C2" s="31">
        <f>IFERROR(__xludf.DUMMYFUNCTION("""COMPUTED_VALUE"""),5.0)</f>
        <v>5</v>
      </c>
      <c r="D2" s="32">
        <f>IFERROR(__xludf.DUMMYFUNCTION("""COMPUTED_VALUE"""),4.9)</f>
        <v>4.9</v>
      </c>
      <c r="E2" s="14">
        <f>IFERROR(__xludf.DUMMYFUNCTION("""COMPUTED_VALUE"""),4.8)</f>
        <v>4.8</v>
      </c>
      <c r="F2" s="33"/>
      <c r="G2" s="39">
        <f>IFERROR(__xludf.DUMMYFUNCTION("""COMPUTED_VALUE"""),4.9)</f>
        <v>4.9</v>
      </c>
      <c r="H2" s="1">
        <f>IFERROR(__xludf.DUMMYFUNCTION("""COMPUTED_VALUE"""),4.8)</f>
        <v>4.8</v>
      </c>
      <c r="I2" s="1">
        <f>IFERROR(__xludf.DUMMYFUNCTION("""COMPUTED_VALUE"""),4.7)</f>
        <v>4.7</v>
      </c>
      <c r="J2" s="37">
        <f>IFERROR(__xludf.DUMMYFUNCTION("""COMPUTED_VALUE"""),4.4)</f>
        <v>4.4</v>
      </c>
      <c r="K2" s="37">
        <f>IFERROR(__xludf.DUMMYFUNCTION("""COMPUTED_VALUE"""),4.5)</f>
        <v>4.5</v>
      </c>
      <c r="L2" s="37">
        <f>IFERROR(__xludf.DUMMYFUNCTION("""COMPUTED_VALUE"""),5.0)</f>
        <v>5</v>
      </c>
      <c r="M2" s="32">
        <f>IFERROR(__xludf.DUMMYFUNCTION("""COMPUTED_VALUE"""),0.7)</f>
        <v>0.7</v>
      </c>
      <c r="N2" s="32"/>
      <c r="O2" s="38">
        <f>IFERROR(__xludf.DUMMYFUNCTION("""COMPUTED_VALUE"""),3.5)</f>
        <v>3.5</v>
      </c>
      <c r="P2" s="37"/>
      <c r="Q2" s="37">
        <f>IFERROR(__xludf.DUMMYFUNCTION("""COMPUTED_VALUE"""),3.5)</f>
        <v>3.5</v>
      </c>
      <c r="R2" s="37">
        <f>IFERROR(__xludf.DUMMYFUNCTION("""COMPUTED_VALUE"""),2.5)</f>
        <v>2.5</v>
      </c>
      <c r="S2" s="37">
        <f>IFERROR(__xludf.DUMMYFUNCTION("""COMPUTED_VALUE"""),3.5)</f>
        <v>3.5</v>
      </c>
      <c r="T2" s="37"/>
      <c r="U2" s="37">
        <f>IFERROR(__xludf.DUMMYFUNCTION("""COMPUTED_VALUE"""),0.9)</f>
        <v>0.9</v>
      </c>
      <c r="V2" s="37">
        <f>IFERROR(__xludf.DUMMYFUNCTION("""COMPUTED_VALUE"""),2.9)</f>
        <v>2.9</v>
      </c>
      <c r="W2" s="37" t="str">
        <f>IFERROR(__xludf.DUMMYFUNCTION("""COMPUTED_VALUE"""),"U00196501")</f>
        <v>U00196501</v>
      </c>
      <c r="X2" s="37"/>
      <c r="Y2" s="37"/>
    </row>
    <row r="3">
      <c r="A3" s="25">
        <v>2.0</v>
      </c>
      <c r="B3" s="28" t="s">
        <v>9</v>
      </c>
      <c r="C3" s="31">
        <f>IFERROR(__xludf.DUMMYFUNCTION("""COMPUTED_VALUE"""),4.8)</f>
        <v>4.8</v>
      </c>
      <c r="D3" s="32">
        <f>IFERROR(__xludf.DUMMYFUNCTION("""COMPUTED_VALUE"""),5.0)</f>
        <v>5</v>
      </c>
      <c r="E3" s="14">
        <f>IFERROR(__xludf.DUMMYFUNCTION("""COMPUTED_VALUE"""),4.4)</f>
        <v>4.4</v>
      </c>
      <c r="F3" s="33">
        <f>IFERROR(__xludf.DUMMYFUNCTION("""COMPUTED_VALUE"""),4.5)</f>
        <v>4.5</v>
      </c>
      <c r="G3" s="39">
        <f>IFERROR(__xludf.DUMMYFUNCTION("""COMPUTED_VALUE"""),4.7)</f>
        <v>4.7</v>
      </c>
      <c r="H3" s="1">
        <f>IFERROR(__xludf.DUMMYFUNCTION("""COMPUTED_VALUE"""),5.0)</f>
        <v>5</v>
      </c>
      <c r="I3" s="1">
        <f>IFERROR(__xludf.DUMMYFUNCTION("""COMPUTED_VALUE"""),4.7)</f>
        <v>4.7</v>
      </c>
      <c r="J3" s="37">
        <f>IFERROR(__xludf.DUMMYFUNCTION("""COMPUTED_VALUE"""),2.4)</f>
        <v>2.4</v>
      </c>
      <c r="K3" s="37">
        <f>IFERROR(__xludf.DUMMYFUNCTION("""COMPUTED_VALUE"""),4.0)</f>
        <v>4</v>
      </c>
      <c r="L3" s="37">
        <f>IFERROR(__xludf.DUMMYFUNCTION("""COMPUTED_VALUE"""),3.7)</f>
        <v>3.7</v>
      </c>
      <c r="M3" s="32">
        <f>IFERROR(__xludf.DUMMYFUNCTION("""COMPUTED_VALUE"""),5.0)</f>
        <v>5</v>
      </c>
      <c r="N3" s="32"/>
      <c r="O3" s="38">
        <f>IFERROR(__xludf.DUMMYFUNCTION("""COMPUTED_VALUE"""),5.0)</f>
        <v>5</v>
      </c>
      <c r="P3" s="37"/>
      <c r="Q3" s="37">
        <f>IFERROR(__xludf.DUMMYFUNCTION("""COMPUTED_VALUE"""),4.5)</f>
        <v>4.5</v>
      </c>
      <c r="R3" s="37">
        <f>IFERROR(__xludf.DUMMYFUNCTION("""COMPUTED_VALUE"""),4.5)</f>
        <v>4.5</v>
      </c>
      <c r="S3" s="37">
        <f>IFERROR(__xludf.DUMMYFUNCTION("""COMPUTED_VALUE"""),5.0)</f>
        <v>5</v>
      </c>
      <c r="T3" s="37">
        <f>IFERROR(__xludf.DUMMYFUNCTION("""COMPUTED_VALUE"""),5.0)</f>
        <v>5</v>
      </c>
      <c r="U3" s="37">
        <f>IFERROR(__xludf.DUMMYFUNCTION("""COMPUTED_VALUE"""),2.5)</f>
        <v>2.5</v>
      </c>
      <c r="V3" s="37">
        <f>IFERROR(__xludf.DUMMYFUNCTION("""COMPUTED_VALUE"""),3.6)</f>
        <v>3.6</v>
      </c>
      <c r="W3" s="37" t="str">
        <f>IFERROR(__xludf.DUMMYFUNCTION("""COMPUTED_VALUE"""),"U00196914")</f>
        <v>U00196914</v>
      </c>
      <c r="X3" s="37"/>
      <c r="Y3" s="37"/>
    </row>
    <row r="4">
      <c r="A4" s="25">
        <v>3.0</v>
      </c>
      <c r="B4" s="40" t="s">
        <v>13</v>
      </c>
      <c r="C4" s="41">
        <f>IFERROR(__xludf.DUMMYFUNCTION("""COMPUTED_VALUE"""),0.6)</f>
        <v>0.6</v>
      </c>
      <c r="D4" s="42">
        <f>IFERROR(__xludf.DUMMYFUNCTION("""COMPUTED_VALUE"""),0.0)</f>
        <v>0</v>
      </c>
      <c r="E4" s="43">
        <f>IFERROR(__xludf.DUMMYFUNCTION("""COMPUTED_VALUE"""),2.2)</f>
        <v>2.2</v>
      </c>
      <c r="F4" s="44"/>
      <c r="G4" s="45"/>
      <c r="H4" s="46">
        <f>IFERROR(__xludf.DUMMYFUNCTION("""COMPUTED_VALUE"""),4.4)</f>
        <v>4.4</v>
      </c>
      <c r="I4" s="46">
        <f>IFERROR(__xludf.DUMMYFUNCTION("""COMPUTED_VALUE"""),4.4)</f>
        <v>4.4</v>
      </c>
      <c r="J4" s="47">
        <f>IFERROR(__xludf.DUMMYFUNCTION("""COMPUTED_VALUE"""),0.0)</f>
        <v>0</v>
      </c>
      <c r="K4" s="47">
        <f>IFERROR(__xludf.DUMMYFUNCTION("""COMPUTED_VALUE"""),0.0)</f>
        <v>0</v>
      </c>
      <c r="L4" s="47">
        <f>IFERROR(__xludf.DUMMYFUNCTION("""COMPUTED_VALUE"""),0.0)</f>
        <v>0</v>
      </c>
      <c r="M4" s="42"/>
      <c r="N4" s="42"/>
      <c r="O4" s="48"/>
      <c r="P4" s="49"/>
      <c r="Q4" s="47"/>
      <c r="R4" s="47"/>
      <c r="S4" s="47"/>
      <c r="T4" s="47"/>
      <c r="U4" s="47">
        <f>IFERROR(__xludf.DUMMYFUNCTION("""COMPUTED_VALUE"""),0.0)</f>
        <v>0</v>
      </c>
      <c r="V4" s="47"/>
      <c r="W4" s="37" t="str">
        <f>IFERROR(__xludf.DUMMYFUNCTION("""COMPUTED_VALUE"""),"U00086303")</f>
        <v>U00086303</v>
      </c>
      <c r="X4" s="37"/>
      <c r="Y4" s="37"/>
    </row>
    <row r="5">
      <c r="A5" s="25">
        <v>4.0</v>
      </c>
      <c r="B5" s="28" t="s">
        <v>18</v>
      </c>
      <c r="C5" s="31">
        <f>IFERROR(__xludf.DUMMYFUNCTION("""COMPUTED_VALUE"""),3.0)</f>
        <v>3</v>
      </c>
      <c r="D5" s="32">
        <f>IFERROR(__xludf.DUMMYFUNCTION("""COMPUTED_VALUE"""),3.5)</f>
        <v>3.5</v>
      </c>
      <c r="E5" s="14">
        <f>IFERROR(__xludf.DUMMYFUNCTION("""COMPUTED_VALUE"""),4.7)</f>
        <v>4.7</v>
      </c>
      <c r="F5" s="33">
        <f>IFERROR(__xludf.DUMMYFUNCTION("""COMPUTED_VALUE"""),3.8)</f>
        <v>3.8</v>
      </c>
      <c r="G5" s="39">
        <f>IFERROR(__xludf.DUMMYFUNCTION("""COMPUTED_VALUE"""),3.7)</f>
        <v>3.7</v>
      </c>
      <c r="H5" s="1">
        <f>IFERROR(__xludf.DUMMYFUNCTION("""COMPUTED_VALUE"""),4.4)</f>
        <v>4.4</v>
      </c>
      <c r="I5" s="1">
        <f>IFERROR(__xludf.DUMMYFUNCTION("""COMPUTED_VALUE"""),4.4)</f>
        <v>4.4</v>
      </c>
      <c r="J5" s="37">
        <f>IFERROR(__xludf.DUMMYFUNCTION("""COMPUTED_VALUE"""),5.0)</f>
        <v>5</v>
      </c>
      <c r="K5" s="37">
        <f>IFERROR(__xludf.DUMMYFUNCTION("""COMPUTED_VALUE"""),4.5)</f>
        <v>4.5</v>
      </c>
      <c r="L5" s="37">
        <f>IFERROR(__xludf.DUMMYFUNCTION("""COMPUTED_VALUE"""),5.0)</f>
        <v>5</v>
      </c>
      <c r="M5" s="32">
        <f>IFERROR(__xludf.DUMMYFUNCTION("""COMPUTED_VALUE"""),2.7)</f>
        <v>2.7</v>
      </c>
      <c r="N5" s="32"/>
      <c r="O5" s="38">
        <f>IFERROR(__xludf.DUMMYFUNCTION("""COMPUTED_VALUE"""),5.0)</f>
        <v>5</v>
      </c>
      <c r="P5" s="37"/>
      <c r="Q5" s="37">
        <f>IFERROR(__xludf.DUMMYFUNCTION("""COMPUTED_VALUE"""),0.2)</f>
        <v>0.2</v>
      </c>
      <c r="R5" s="37">
        <f>IFERROR(__xludf.DUMMYFUNCTION("""COMPUTED_VALUE"""),2.8)</f>
        <v>2.8</v>
      </c>
      <c r="S5" s="37">
        <f>IFERROR(__xludf.DUMMYFUNCTION("""COMPUTED_VALUE"""),5.0)</f>
        <v>5</v>
      </c>
      <c r="T5" s="37">
        <f>IFERROR(__xludf.DUMMYFUNCTION("""COMPUTED_VALUE"""),5.0)</f>
        <v>5</v>
      </c>
      <c r="U5" s="37">
        <f>IFERROR(__xludf.DUMMYFUNCTION("""COMPUTED_VALUE"""),1.8)</f>
        <v>1.8</v>
      </c>
      <c r="V5" s="37">
        <f>IFERROR(__xludf.DUMMYFUNCTION("""COMPUTED_VALUE"""),2.8)</f>
        <v>2.8</v>
      </c>
      <c r="W5" s="37" t="str">
        <f>IFERROR(__xludf.DUMMYFUNCTION("""COMPUTED_VALUE"""),"U00197422")</f>
        <v>U00197422</v>
      </c>
      <c r="X5" s="37"/>
      <c r="Y5" s="37"/>
    </row>
    <row r="6">
      <c r="A6" s="25">
        <v>5.0</v>
      </c>
      <c r="B6" s="28" t="s">
        <v>23</v>
      </c>
      <c r="C6" s="31">
        <f>IFERROR(__xludf.DUMMYFUNCTION("""COMPUTED_VALUE"""),4.2)</f>
        <v>4.2</v>
      </c>
      <c r="D6" s="32">
        <f>IFERROR(__xludf.DUMMYFUNCTION("""COMPUTED_VALUE"""),4.8)</f>
        <v>4.8</v>
      </c>
      <c r="E6" s="14">
        <f>IFERROR(__xludf.DUMMYFUNCTION("""COMPUTED_VALUE"""),4.6)</f>
        <v>4.6</v>
      </c>
      <c r="F6" s="33"/>
      <c r="G6" s="39">
        <f>IFERROR(__xludf.DUMMYFUNCTION("""COMPUTED_VALUE"""),4.5)</f>
        <v>4.5</v>
      </c>
      <c r="H6" s="1">
        <f>IFERROR(__xludf.DUMMYFUNCTION("""COMPUTED_VALUE"""),4.4)</f>
        <v>4.4</v>
      </c>
      <c r="I6" s="1">
        <f>IFERROR(__xludf.DUMMYFUNCTION("""COMPUTED_VALUE"""),5.0)</f>
        <v>5</v>
      </c>
      <c r="J6" s="37">
        <f>IFERROR(__xludf.DUMMYFUNCTION("""COMPUTED_VALUE"""),4.1)</f>
        <v>4.1</v>
      </c>
      <c r="K6" s="37">
        <f>IFERROR(__xludf.DUMMYFUNCTION("""COMPUTED_VALUE"""),2.8)</f>
        <v>2.8</v>
      </c>
      <c r="L6" s="37">
        <f>IFERROR(__xludf.DUMMYFUNCTION("""COMPUTED_VALUE"""),4.7)</f>
        <v>4.7</v>
      </c>
      <c r="M6" s="32">
        <f>IFERROR(__xludf.DUMMYFUNCTION("""COMPUTED_VALUE"""),5.0)</f>
        <v>5</v>
      </c>
      <c r="N6" s="32"/>
      <c r="O6" s="38">
        <f>IFERROR(__xludf.DUMMYFUNCTION("""COMPUTED_VALUE"""),5.0)</f>
        <v>5</v>
      </c>
      <c r="P6" s="37"/>
      <c r="Q6" s="37">
        <f>IFERROR(__xludf.DUMMYFUNCTION("""COMPUTED_VALUE"""),4.5)</f>
        <v>4.5</v>
      </c>
      <c r="R6" s="37">
        <f>IFERROR(__xludf.DUMMYFUNCTION("""COMPUTED_VALUE"""),5.0)</f>
        <v>5</v>
      </c>
      <c r="S6" s="37">
        <f>IFERROR(__xludf.DUMMYFUNCTION("""COMPUTED_VALUE"""),5.0)</f>
        <v>5</v>
      </c>
      <c r="T6" s="37">
        <f>IFERROR(__xludf.DUMMYFUNCTION("""COMPUTED_VALUE"""),5.0)</f>
        <v>5</v>
      </c>
      <c r="U6" s="37">
        <f>IFERROR(__xludf.DUMMYFUNCTION("""COMPUTED_VALUE"""),2.5)</f>
        <v>2.5</v>
      </c>
      <c r="V6" s="37">
        <f>IFERROR(__xludf.DUMMYFUNCTION("""COMPUTED_VALUE"""),3.5)</f>
        <v>3.5</v>
      </c>
      <c r="W6" s="37" t="str">
        <f>IFERROR(__xludf.DUMMYFUNCTION("""COMPUTED_VALUE"""),"U00197038")</f>
        <v>U00197038</v>
      </c>
      <c r="X6" s="37"/>
      <c r="Y6" s="37"/>
    </row>
    <row r="7">
      <c r="A7" s="25">
        <v>6.0</v>
      </c>
      <c r="B7" s="28" t="s">
        <v>28</v>
      </c>
      <c r="C7" s="31">
        <f>IFERROR(__xludf.DUMMYFUNCTION("""COMPUTED_VALUE"""),4.3)</f>
        <v>4.3</v>
      </c>
      <c r="D7" s="32">
        <f>IFERROR(__xludf.DUMMYFUNCTION("""COMPUTED_VALUE"""),4.4)</f>
        <v>4.4</v>
      </c>
      <c r="E7" s="14">
        <f>IFERROR(__xludf.DUMMYFUNCTION("""COMPUTED_VALUE"""),5.0)</f>
        <v>5</v>
      </c>
      <c r="F7" s="33"/>
      <c r="G7" s="39">
        <f>IFERROR(__xludf.DUMMYFUNCTION("""COMPUTED_VALUE"""),4.5)</f>
        <v>4.5</v>
      </c>
      <c r="H7" s="1">
        <f>IFERROR(__xludf.DUMMYFUNCTION("""COMPUTED_VALUE"""),5.0)</f>
        <v>5</v>
      </c>
      <c r="I7" s="1">
        <f>IFERROR(__xludf.DUMMYFUNCTION("""COMPUTED_VALUE"""),4.7)</f>
        <v>4.7</v>
      </c>
      <c r="J7" s="37">
        <f>IFERROR(__xludf.DUMMYFUNCTION("""COMPUTED_VALUE"""),5.0)</f>
        <v>5</v>
      </c>
      <c r="K7" s="37">
        <f>IFERROR(__xludf.DUMMYFUNCTION("""COMPUTED_VALUE"""),5.0)</f>
        <v>5</v>
      </c>
      <c r="L7" s="37">
        <f>IFERROR(__xludf.DUMMYFUNCTION("""COMPUTED_VALUE"""),5.0)</f>
        <v>5</v>
      </c>
      <c r="M7" s="32">
        <f>IFERROR(__xludf.DUMMYFUNCTION("""COMPUTED_VALUE"""),2.6)</f>
        <v>2.6</v>
      </c>
      <c r="N7" s="32"/>
      <c r="O7" s="38">
        <f>IFERROR(__xludf.DUMMYFUNCTION("""COMPUTED_VALUE"""),5.0)</f>
        <v>5</v>
      </c>
      <c r="P7" s="37"/>
      <c r="Q7" s="37">
        <f>IFERROR(__xludf.DUMMYFUNCTION("""COMPUTED_VALUE"""),2.5)</f>
        <v>2.5</v>
      </c>
      <c r="R7" s="37">
        <f>IFERROR(__xludf.DUMMYFUNCTION("""COMPUTED_VALUE"""),3.0)</f>
        <v>3</v>
      </c>
      <c r="S7" s="37">
        <f>IFERROR(__xludf.DUMMYFUNCTION("""COMPUTED_VALUE"""),5.0)</f>
        <v>5</v>
      </c>
      <c r="T7" s="37">
        <f>IFERROR(__xludf.DUMMYFUNCTION("""COMPUTED_VALUE"""),5.0)</f>
        <v>5</v>
      </c>
      <c r="U7" s="37">
        <f>IFERROR(__xludf.DUMMYFUNCTION("""COMPUTED_VALUE"""),1.8)</f>
        <v>1.8</v>
      </c>
      <c r="V7" s="37">
        <f>IFERROR(__xludf.DUMMYFUNCTION("""COMPUTED_VALUE"""),3.2)</f>
        <v>3.2</v>
      </c>
      <c r="W7" s="37" t="str">
        <f>IFERROR(__xludf.DUMMYFUNCTION("""COMPUTED_VALUE"""),"U00197953")</f>
        <v>U00197953</v>
      </c>
      <c r="X7" s="37"/>
      <c r="Y7" s="37"/>
    </row>
    <row r="8">
      <c r="A8" s="25">
        <v>7.0</v>
      </c>
      <c r="B8" s="28" t="s">
        <v>33</v>
      </c>
      <c r="C8" s="31">
        <f>IFERROR(__xludf.DUMMYFUNCTION("""COMPUTED_VALUE"""),3.1)</f>
        <v>3.1</v>
      </c>
      <c r="D8" s="32">
        <f>IFERROR(__xludf.DUMMYFUNCTION("""COMPUTED_VALUE"""),5.0)</f>
        <v>5</v>
      </c>
      <c r="E8" s="14">
        <f>IFERROR(__xludf.DUMMYFUNCTION("""COMPUTED_VALUE"""),4.7)</f>
        <v>4.7</v>
      </c>
      <c r="F8" s="33">
        <f>IFERROR(__xludf.DUMMYFUNCTION("""COMPUTED_VALUE"""),3.8)</f>
        <v>3.8</v>
      </c>
      <c r="G8" s="39">
        <f>IFERROR(__xludf.DUMMYFUNCTION("""COMPUTED_VALUE"""),4.1)</f>
        <v>4.1</v>
      </c>
      <c r="H8" s="1">
        <f>IFERROR(__xludf.DUMMYFUNCTION("""COMPUTED_VALUE"""),4.2)</f>
        <v>4.2</v>
      </c>
      <c r="I8" s="1">
        <f>IFERROR(__xludf.DUMMYFUNCTION("""COMPUTED_VALUE"""),5.0)</f>
        <v>5</v>
      </c>
      <c r="J8" s="37">
        <f>IFERROR(__xludf.DUMMYFUNCTION("""COMPUTED_VALUE"""),4.1)</f>
        <v>4.1</v>
      </c>
      <c r="K8" s="37">
        <f>IFERROR(__xludf.DUMMYFUNCTION("""COMPUTED_VALUE"""),4.4)</f>
        <v>4.4</v>
      </c>
      <c r="L8" s="37">
        <f>IFERROR(__xludf.DUMMYFUNCTION("""COMPUTED_VALUE"""),5.0)</f>
        <v>5</v>
      </c>
      <c r="M8" s="32">
        <f>IFERROR(__xludf.DUMMYFUNCTION("""COMPUTED_VALUE"""),5.0)</f>
        <v>5</v>
      </c>
      <c r="N8" s="32"/>
      <c r="O8" s="38">
        <f>IFERROR(__xludf.DUMMYFUNCTION("""COMPUTED_VALUE"""),5.0)</f>
        <v>5</v>
      </c>
      <c r="P8" s="37"/>
      <c r="Q8" s="37">
        <f>IFERROR(__xludf.DUMMYFUNCTION("""COMPUTED_VALUE"""),3.8)</f>
        <v>3.8</v>
      </c>
      <c r="R8" s="37">
        <f>IFERROR(__xludf.DUMMYFUNCTION("""COMPUTED_VALUE"""),5.0)</f>
        <v>5</v>
      </c>
      <c r="S8" s="37">
        <f>IFERROR(__xludf.DUMMYFUNCTION("""COMPUTED_VALUE"""),5.0)</f>
        <v>5</v>
      </c>
      <c r="T8" s="37">
        <f>IFERROR(__xludf.DUMMYFUNCTION("""COMPUTED_VALUE"""),5.0)</f>
        <v>5</v>
      </c>
      <c r="U8" s="37">
        <f>IFERROR(__xludf.DUMMYFUNCTION("""COMPUTED_VALUE"""),2.5)</f>
        <v>2.5</v>
      </c>
      <c r="V8" s="37">
        <f>IFERROR(__xludf.DUMMYFUNCTION("""COMPUTED_VALUE"""),3.3)</f>
        <v>3.3</v>
      </c>
      <c r="W8" s="37" t="str">
        <f>IFERROR(__xludf.DUMMYFUNCTION("""COMPUTED_VALUE"""),"U00198310")</f>
        <v>U00198310</v>
      </c>
      <c r="X8" s="37"/>
      <c r="Y8" s="37"/>
    </row>
    <row r="9">
      <c r="A9" s="25">
        <v>8.0</v>
      </c>
      <c r="B9" s="28" t="s">
        <v>37</v>
      </c>
      <c r="C9" s="31">
        <f>IFERROR(__xludf.DUMMYFUNCTION("""COMPUTED_VALUE"""),3.1)</f>
        <v>3.1</v>
      </c>
      <c r="D9" s="32">
        <f>IFERROR(__xludf.DUMMYFUNCTION("""COMPUTED_VALUE"""),2.4)</f>
        <v>2.4</v>
      </c>
      <c r="E9" s="14">
        <f>IFERROR(__xludf.DUMMYFUNCTION("""COMPUTED_VALUE"""),4.8)</f>
        <v>4.8</v>
      </c>
      <c r="F9" s="33"/>
      <c r="G9" s="39">
        <f>IFERROR(__xludf.DUMMYFUNCTION("""COMPUTED_VALUE"""),3.4)</f>
        <v>3.4</v>
      </c>
      <c r="H9" s="1">
        <f>IFERROR(__xludf.DUMMYFUNCTION("""COMPUTED_VALUE"""),5.0)</f>
        <v>5</v>
      </c>
      <c r="I9" s="1">
        <f>IFERROR(__xludf.DUMMYFUNCTION("""COMPUTED_VALUE"""),4.7)</f>
        <v>4.7</v>
      </c>
      <c r="J9" s="37">
        <f>IFERROR(__xludf.DUMMYFUNCTION("""COMPUTED_VALUE"""),4.4)</f>
        <v>4.4</v>
      </c>
      <c r="K9" s="37">
        <f>IFERROR(__xludf.DUMMYFUNCTION("""COMPUTED_VALUE"""),5.0)</f>
        <v>5</v>
      </c>
      <c r="L9" s="37">
        <f>IFERROR(__xludf.DUMMYFUNCTION("""COMPUTED_VALUE"""),4.3)</f>
        <v>4.3</v>
      </c>
      <c r="M9" s="32">
        <f>IFERROR(__xludf.DUMMYFUNCTION("""COMPUTED_VALUE"""),2.8)</f>
        <v>2.8</v>
      </c>
      <c r="N9" s="32"/>
      <c r="O9" s="38">
        <f>IFERROR(__xludf.DUMMYFUNCTION("""COMPUTED_VALUE"""),5.0)</f>
        <v>5</v>
      </c>
      <c r="P9" s="37"/>
      <c r="Q9" s="37">
        <f>IFERROR(__xludf.DUMMYFUNCTION("""COMPUTED_VALUE"""),3.0)</f>
        <v>3</v>
      </c>
      <c r="R9" s="37">
        <f>IFERROR(__xludf.DUMMYFUNCTION("""COMPUTED_VALUE"""),3.3)</f>
        <v>3.3</v>
      </c>
      <c r="S9" s="37">
        <f>IFERROR(__xludf.DUMMYFUNCTION("""COMPUTED_VALUE"""),5.0)</f>
        <v>5</v>
      </c>
      <c r="T9" s="37">
        <f>IFERROR(__xludf.DUMMYFUNCTION("""COMPUTED_VALUE"""),5.0)</f>
        <v>5</v>
      </c>
      <c r="U9" s="37">
        <f>IFERROR(__xludf.DUMMYFUNCTION("""COMPUTED_VALUE"""),1.8)</f>
        <v>1.8</v>
      </c>
      <c r="V9" s="37">
        <f>IFERROR(__xludf.DUMMYFUNCTION("""COMPUTED_VALUE"""),2.6)</f>
        <v>2.6</v>
      </c>
      <c r="W9" s="37" t="str">
        <f>IFERROR(__xludf.DUMMYFUNCTION("""COMPUTED_VALUE"""),"U00197763")</f>
        <v>U00197763</v>
      </c>
      <c r="X9" s="37"/>
      <c r="Y9" s="37"/>
    </row>
    <row r="10">
      <c r="A10" s="25">
        <v>9.0</v>
      </c>
      <c r="B10" s="28" t="s">
        <v>41</v>
      </c>
      <c r="C10" s="31">
        <f>IFERROR(__xludf.DUMMYFUNCTION("""COMPUTED_VALUE"""),1.8)</f>
        <v>1.8</v>
      </c>
      <c r="D10" s="32">
        <f>IFERROR(__xludf.DUMMYFUNCTION("""COMPUTED_VALUE"""),4.7)</f>
        <v>4.7</v>
      </c>
      <c r="E10" s="14">
        <f>IFERROR(__xludf.DUMMYFUNCTION("""COMPUTED_VALUE"""),3.9)</f>
        <v>3.9</v>
      </c>
      <c r="F10" s="33"/>
      <c r="G10" s="39">
        <f>IFERROR(__xludf.DUMMYFUNCTION("""COMPUTED_VALUE"""),3.4)</f>
        <v>3.4</v>
      </c>
      <c r="H10" s="1">
        <f>IFERROR(__xludf.DUMMYFUNCTION("""COMPUTED_VALUE"""),1.2)</f>
        <v>1.2</v>
      </c>
      <c r="I10" s="1">
        <f>IFERROR(__xludf.DUMMYFUNCTION("""COMPUTED_VALUE"""),3.5)</f>
        <v>3.5</v>
      </c>
      <c r="J10" s="37">
        <f>IFERROR(__xludf.DUMMYFUNCTION("""COMPUTED_VALUE"""),3.5)</f>
        <v>3.5</v>
      </c>
      <c r="K10" s="37">
        <f>IFERROR(__xludf.DUMMYFUNCTION("""COMPUTED_VALUE"""),4.8)</f>
        <v>4.8</v>
      </c>
      <c r="L10" s="37">
        <f>IFERROR(__xludf.DUMMYFUNCTION("""COMPUTED_VALUE"""),3.7)</f>
        <v>3.7</v>
      </c>
      <c r="M10" s="32">
        <f>IFERROR(__xludf.DUMMYFUNCTION("""COMPUTED_VALUE"""),1.5)</f>
        <v>1.5</v>
      </c>
      <c r="N10" s="32"/>
      <c r="O10" s="38">
        <f>IFERROR(__xludf.DUMMYFUNCTION("""COMPUTED_VALUE"""),5.0)</f>
        <v>5</v>
      </c>
      <c r="P10" s="37"/>
      <c r="Q10" s="37">
        <f>IFERROR(__xludf.DUMMYFUNCTION("""COMPUTED_VALUE"""),0.2)</f>
        <v>0.2</v>
      </c>
      <c r="R10" s="37">
        <f>IFERROR(__xludf.DUMMYFUNCTION("""COMPUTED_VALUE"""),3.1)</f>
        <v>3.1</v>
      </c>
      <c r="S10" s="37">
        <f>IFERROR(__xludf.DUMMYFUNCTION("""COMPUTED_VALUE"""),5.0)</f>
        <v>5</v>
      </c>
      <c r="T10" s="37">
        <f>IFERROR(__xludf.DUMMYFUNCTION("""COMPUTED_VALUE"""),5.0)</f>
        <v>5</v>
      </c>
      <c r="U10" s="37">
        <f>IFERROR(__xludf.DUMMYFUNCTION("""COMPUTED_VALUE"""),1.5)</f>
        <v>1.5</v>
      </c>
      <c r="V10" s="37">
        <f>IFERROR(__xludf.DUMMYFUNCTION("""COMPUTED_VALUE"""),2.5)</f>
        <v>2.5</v>
      </c>
      <c r="W10" s="37" t="str">
        <f>IFERROR(__xludf.DUMMYFUNCTION("""COMPUTED_VALUE"""),"U00172242")</f>
        <v>U00172242</v>
      </c>
      <c r="X10" s="37"/>
      <c r="Y10" s="37"/>
    </row>
    <row r="11">
      <c r="A11" s="25">
        <v>10.0</v>
      </c>
      <c r="B11" s="28" t="s">
        <v>45</v>
      </c>
      <c r="C11" s="31">
        <f>IFERROR(__xludf.DUMMYFUNCTION("""COMPUTED_VALUE"""),3.7)</f>
        <v>3.7</v>
      </c>
      <c r="D11" s="32">
        <f>IFERROR(__xludf.DUMMYFUNCTION("""COMPUTED_VALUE"""),5.0)</f>
        <v>5</v>
      </c>
      <c r="E11" s="14">
        <f>IFERROR(__xludf.DUMMYFUNCTION("""COMPUTED_VALUE"""),4.6)</f>
        <v>4.6</v>
      </c>
      <c r="F11" s="33">
        <f>IFERROR(__xludf.DUMMYFUNCTION("""COMPUTED_VALUE"""),3.9)</f>
        <v>3.9</v>
      </c>
      <c r="G11" s="39">
        <f>IFERROR(__xludf.DUMMYFUNCTION("""COMPUTED_VALUE"""),4.3)</f>
        <v>4.3</v>
      </c>
      <c r="H11" s="1">
        <f>IFERROR(__xludf.DUMMYFUNCTION("""COMPUTED_VALUE"""),4.8)</f>
        <v>4.8</v>
      </c>
      <c r="I11" s="1">
        <f>IFERROR(__xludf.DUMMYFUNCTION("""COMPUTED_VALUE"""),4.7)</f>
        <v>4.7</v>
      </c>
      <c r="J11" s="37">
        <f>IFERROR(__xludf.DUMMYFUNCTION("""COMPUTED_VALUE"""),4.4)</f>
        <v>4.4</v>
      </c>
      <c r="K11" s="37">
        <f>IFERROR(__xludf.DUMMYFUNCTION("""COMPUTED_VALUE"""),4.0)</f>
        <v>4</v>
      </c>
      <c r="L11" s="37">
        <f>IFERROR(__xludf.DUMMYFUNCTION("""COMPUTED_VALUE"""),4.3)</f>
        <v>4.3</v>
      </c>
      <c r="M11" s="32">
        <f>IFERROR(__xludf.DUMMYFUNCTION("""COMPUTED_VALUE"""),5.0)</f>
        <v>5</v>
      </c>
      <c r="N11" s="32"/>
      <c r="O11" s="38">
        <f>IFERROR(__xludf.DUMMYFUNCTION("""COMPUTED_VALUE"""),5.0)</f>
        <v>5</v>
      </c>
      <c r="P11" s="37"/>
      <c r="Q11" s="37">
        <f>IFERROR(__xludf.DUMMYFUNCTION("""COMPUTED_VALUE"""),4.0)</f>
        <v>4</v>
      </c>
      <c r="R11" s="37">
        <f>IFERROR(__xludf.DUMMYFUNCTION("""COMPUTED_VALUE"""),4.5)</f>
        <v>4.5</v>
      </c>
      <c r="S11" s="37">
        <f>IFERROR(__xludf.DUMMYFUNCTION("""COMPUTED_VALUE"""),5.0)</f>
        <v>5</v>
      </c>
      <c r="T11" s="37">
        <f>IFERROR(__xludf.DUMMYFUNCTION("""COMPUTED_VALUE"""),5.0)</f>
        <v>5</v>
      </c>
      <c r="U11" s="37">
        <f>IFERROR(__xludf.DUMMYFUNCTION("""COMPUTED_VALUE"""),2.5)</f>
        <v>2.5</v>
      </c>
      <c r="V11" s="37">
        <f>IFERROR(__xludf.DUMMYFUNCTION("""COMPUTED_VALUE"""),3.4)</f>
        <v>3.4</v>
      </c>
      <c r="W11" s="37" t="str">
        <f>IFERROR(__xludf.DUMMYFUNCTION("""COMPUTED_VALUE"""),"U00196497")</f>
        <v>U00196497</v>
      </c>
      <c r="X11" s="37"/>
      <c r="Y11" s="37"/>
    </row>
    <row r="12">
      <c r="A12" s="25">
        <v>11.0</v>
      </c>
      <c r="B12" s="28" t="s">
        <v>50</v>
      </c>
      <c r="C12" s="31">
        <f>IFERROR(__xludf.DUMMYFUNCTION("""COMPUTED_VALUE"""),3.8)</f>
        <v>3.8</v>
      </c>
      <c r="D12" s="32">
        <f>IFERROR(__xludf.DUMMYFUNCTION("""COMPUTED_VALUE"""),3.9)</f>
        <v>3.9</v>
      </c>
      <c r="E12" s="14">
        <f>IFERROR(__xludf.DUMMYFUNCTION("""COMPUTED_VALUE"""),4.3)</f>
        <v>4.3</v>
      </c>
      <c r="F12" s="33">
        <f>IFERROR(__xludf.DUMMYFUNCTION("""COMPUTED_VALUE"""),4.5)</f>
        <v>4.5</v>
      </c>
      <c r="G12" s="39">
        <f>IFERROR(__xludf.DUMMYFUNCTION("""COMPUTED_VALUE"""),4.1)</f>
        <v>4.1</v>
      </c>
      <c r="H12" s="1">
        <f>IFERROR(__xludf.DUMMYFUNCTION("""COMPUTED_VALUE"""),4.6)</f>
        <v>4.6</v>
      </c>
      <c r="I12" s="1">
        <f>IFERROR(__xludf.DUMMYFUNCTION("""COMPUTED_VALUE"""),4.7)</f>
        <v>4.7</v>
      </c>
      <c r="J12" s="37">
        <f>IFERROR(__xludf.DUMMYFUNCTION("""COMPUTED_VALUE"""),3.5)</f>
        <v>3.5</v>
      </c>
      <c r="K12" s="37">
        <f>IFERROR(__xludf.DUMMYFUNCTION("""COMPUTED_VALUE"""),4.5)</f>
        <v>4.5</v>
      </c>
      <c r="L12" s="37">
        <f>IFERROR(__xludf.DUMMYFUNCTION("""COMPUTED_VALUE"""),3.0)</f>
        <v>3</v>
      </c>
      <c r="M12" s="32">
        <f>IFERROR(__xludf.DUMMYFUNCTION("""COMPUTED_VALUE"""),2.0)</f>
        <v>2</v>
      </c>
      <c r="N12" s="32"/>
      <c r="O12" s="38">
        <f>IFERROR(__xludf.DUMMYFUNCTION("""COMPUTED_VALUE"""),4.9)</f>
        <v>4.9</v>
      </c>
      <c r="P12" s="37"/>
      <c r="Q12" s="37">
        <f>IFERROR(__xludf.DUMMYFUNCTION("""COMPUTED_VALUE"""),2.5)</f>
        <v>2.5</v>
      </c>
      <c r="R12" s="37">
        <f>IFERROR(__xludf.DUMMYFUNCTION("""COMPUTED_VALUE"""),3.1)</f>
        <v>3.1</v>
      </c>
      <c r="S12" s="37">
        <f>IFERROR(__xludf.DUMMYFUNCTION("""COMPUTED_VALUE"""),5.0)</f>
        <v>5</v>
      </c>
      <c r="T12" s="37">
        <f>IFERROR(__xludf.DUMMYFUNCTION("""COMPUTED_VALUE"""),4.8)</f>
        <v>4.8</v>
      </c>
      <c r="U12" s="37">
        <f>IFERROR(__xludf.DUMMYFUNCTION("""COMPUTED_VALUE"""),1.6)</f>
        <v>1.6</v>
      </c>
      <c r="V12" s="37">
        <f>IFERROR(__xludf.DUMMYFUNCTION("""COMPUTED_VALUE"""),2.9)</f>
        <v>2.9</v>
      </c>
      <c r="W12" s="37" t="str">
        <f>IFERROR(__xludf.DUMMYFUNCTION("""COMPUTED_VALUE"""),"U00198300")</f>
        <v>U00198300</v>
      </c>
      <c r="X12" s="37"/>
      <c r="Y12" s="37"/>
    </row>
    <row r="13">
      <c r="A13" s="25">
        <v>12.0</v>
      </c>
      <c r="B13" s="28" t="s">
        <v>53</v>
      </c>
      <c r="C13" s="31">
        <f>IFERROR(__xludf.DUMMYFUNCTION("""COMPUTED_VALUE"""),3.6)</f>
        <v>3.6</v>
      </c>
      <c r="D13" s="32">
        <f>IFERROR(__xludf.DUMMYFUNCTION("""COMPUTED_VALUE"""),4.4)</f>
        <v>4.4</v>
      </c>
      <c r="E13" s="14">
        <f>IFERROR(__xludf.DUMMYFUNCTION("""COMPUTED_VALUE"""),4.7)</f>
        <v>4.7</v>
      </c>
      <c r="F13" s="33"/>
      <c r="G13" s="39">
        <f>IFERROR(__xludf.DUMMYFUNCTION("""COMPUTED_VALUE"""),4.2)</f>
        <v>4.2</v>
      </c>
      <c r="H13" s="1">
        <f>IFERROR(__xludf.DUMMYFUNCTION("""COMPUTED_VALUE"""),4.9)</f>
        <v>4.9</v>
      </c>
      <c r="I13" s="1">
        <f>IFERROR(__xludf.DUMMYFUNCTION("""COMPUTED_VALUE"""),4.7)</f>
        <v>4.7</v>
      </c>
      <c r="J13" s="37">
        <f>IFERROR(__xludf.DUMMYFUNCTION("""COMPUTED_VALUE"""),4.1)</f>
        <v>4.1</v>
      </c>
      <c r="K13" s="37">
        <f>IFERROR(__xludf.DUMMYFUNCTION("""COMPUTED_VALUE"""),4.5)</f>
        <v>4.5</v>
      </c>
      <c r="L13" s="37">
        <f>IFERROR(__xludf.DUMMYFUNCTION("""COMPUTED_VALUE"""),4.7)</f>
        <v>4.7</v>
      </c>
      <c r="M13" s="32">
        <f>IFERROR(__xludf.DUMMYFUNCTION("""COMPUTED_VALUE"""),3.7)</f>
        <v>3.7</v>
      </c>
      <c r="N13" s="32"/>
      <c r="O13" s="38">
        <f>IFERROR(__xludf.DUMMYFUNCTION("""COMPUTED_VALUE"""),5.0)</f>
        <v>5</v>
      </c>
      <c r="P13" s="37"/>
      <c r="Q13" s="37">
        <f>IFERROR(__xludf.DUMMYFUNCTION("""COMPUTED_VALUE"""),4.8)</f>
        <v>4.8</v>
      </c>
      <c r="R13" s="37">
        <f>IFERROR(__xludf.DUMMYFUNCTION("""COMPUTED_VALUE"""),3.5)</f>
        <v>3.5</v>
      </c>
      <c r="S13" s="37">
        <f>IFERROR(__xludf.DUMMYFUNCTION("""COMPUTED_VALUE"""),5.0)</f>
        <v>5</v>
      </c>
      <c r="T13" s="37">
        <f>IFERROR(__xludf.DUMMYFUNCTION("""COMPUTED_VALUE"""),5.0)</f>
        <v>5</v>
      </c>
      <c r="U13" s="37">
        <f>IFERROR(__xludf.DUMMYFUNCTION("""COMPUTED_VALUE"""),2.1)</f>
        <v>2.1</v>
      </c>
      <c r="V13" s="37">
        <f>IFERROR(__xludf.DUMMYFUNCTION("""COMPUTED_VALUE"""),3.2)</f>
        <v>3.2</v>
      </c>
      <c r="W13" s="37" t="str">
        <f>IFERROR(__xludf.DUMMYFUNCTION("""COMPUTED_VALUE"""),"U00112758")</f>
        <v>U00112758</v>
      </c>
      <c r="X13" s="37"/>
      <c r="Y13" s="37"/>
    </row>
    <row r="14">
      <c r="A14" s="25">
        <v>13.0</v>
      </c>
      <c r="B14" s="28" t="s">
        <v>57</v>
      </c>
      <c r="C14" s="31">
        <f>IFERROR(__xludf.DUMMYFUNCTION("""COMPUTED_VALUE"""),2.0)</f>
        <v>2</v>
      </c>
      <c r="D14" s="32">
        <f>IFERROR(__xludf.DUMMYFUNCTION("""COMPUTED_VALUE"""),2.8)</f>
        <v>2.8</v>
      </c>
      <c r="E14" s="14">
        <f>IFERROR(__xludf.DUMMYFUNCTION("""COMPUTED_VALUE"""),5.0)</f>
        <v>5</v>
      </c>
      <c r="F14" s="33">
        <f>IFERROR(__xludf.DUMMYFUNCTION("""COMPUTED_VALUE"""),3.4)</f>
        <v>3.4</v>
      </c>
      <c r="G14" s="39">
        <f>IFERROR(__xludf.DUMMYFUNCTION("""COMPUTED_VALUE"""),3.1)</f>
        <v>3.1</v>
      </c>
      <c r="H14" s="1">
        <f>IFERROR(__xludf.DUMMYFUNCTION("""COMPUTED_VALUE"""),4.8)</f>
        <v>4.8</v>
      </c>
      <c r="I14" s="1">
        <f>IFERROR(__xludf.DUMMYFUNCTION("""COMPUTED_VALUE"""),4.4)</f>
        <v>4.4</v>
      </c>
      <c r="J14" s="37">
        <f>IFERROR(__xludf.DUMMYFUNCTION("""COMPUTED_VALUE"""),5.0)</f>
        <v>5</v>
      </c>
      <c r="K14" s="37">
        <f>IFERROR(__xludf.DUMMYFUNCTION("""COMPUTED_VALUE"""),5.0)</f>
        <v>5</v>
      </c>
      <c r="L14" s="37">
        <f>IFERROR(__xludf.DUMMYFUNCTION("""COMPUTED_VALUE"""),5.0)</f>
        <v>5</v>
      </c>
      <c r="M14" s="32">
        <f>IFERROR(__xludf.DUMMYFUNCTION("""COMPUTED_VALUE"""),2.3)</f>
        <v>2.3</v>
      </c>
      <c r="N14" s="32"/>
      <c r="O14" s="38">
        <f>IFERROR(__xludf.DUMMYFUNCTION("""COMPUTED_VALUE"""),2.5)</f>
        <v>2.5</v>
      </c>
      <c r="P14" s="37"/>
      <c r="Q14" s="37">
        <f>IFERROR(__xludf.DUMMYFUNCTION("""COMPUTED_VALUE"""),3.0)</f>
        <v>3</v>
      </c>
      <c r="R14" s="37">
        <f>IFERROR(__xludf.DUMMYFUNCTION("""COMPUTED_VALUE"""),2.0)</f>
        <v>2</v>
      </c>
      <c r="S14" s="37">
        <f>IFERROR(__xludf.DUMMYFUNCTION("""COMPUTED_VALUE"""),0.0)</f>
        <v>0</v>
      </c>
      <c r="T14" s="37">
        <f>IFERROR(__xludf.DUMMYFUNCTION("""COMPUTED_VALUE"""),5.0)</f>
        <v>5</v>
      </c>
      <c r="U14" s="37">
        <f>IFERROR(__xludf.DUMMYFUNCTION("""COMPUTED_VALUE"""),1.2)</f>
        <v>1.2</v>
      </c>
      <c r="V14" s="37">
        <f>IFERROR(__xludf.DUMMYFUNCTION("""COMPUTED_VALUE"""),2.2)</f>
        <v>2.2</v>
      </c>
      <c r="W14" s="37" t="str">
        <f>IFERROR(__xludf.DUMMYFUNCTION("""COMPUTED_VALUE"""),"U00198032")</f>
        <v>U00198032</v>
      </c>
      <c r="X14" s="37"/>
      <c r="Y14" s="37"/>
    </row>
    <row r="15">
      <c r="A15" s="25">
        <v>14.0</v>
      </c>
      <c r="B15" s="28" t="s">
        <v>60</v>
      </c>
      <c r="C15" s="31">
        <f>IFERROR(__xludf.DUMMYFUNCTION("""COMPUTED_VALUE"""),4.7)</f>
        <v>4.7</v>
      </c>
      <c r="D15" s="32">
        <f>IFERROR(__xludf.DUMMYFUNCTION("""COMPUTED_VALUE"""),3.8)</f>
        <v>3.8</v>
      </c>
      <c r="E15" s="14">
        <f>IFERROR(__xludf.DUMMYFUNCTION("""COMPUTED_VALUE"""),4.8)</f>
        <v>4.8</v>
      </c>
      <c r="F15" s="33"/>
      <c r="G15" s="39">
        <f>IFERROR(__xludf.DUMMYFUNCTION("""COMPUTED_VALUE"""),4.4)</f>
        <v>4.4</v>
      </c>
      <c r="H15" s="1">
        <f>IFERROR(__xludf.DUMMYFUNCTION("""COMPUTED_VALUE"""),4.8)</f>
        <v>4.8</v>
      </c>
      <c r="I15" s="1">
        <f>IFERROR(__xludf.DUMMYFUNCTION("""COMPUTED_VALUE"""),4.7)</f>
        <v>4.7</v>
      </c>
      <c r="J15" s="37">
        <f>IFERROR(__xludf.DUMMYFUNCTION("""COMPUTED_VALUE"""),4.7)</f>
        <v>4.7</v>
      </c>
      <c r="K15" s="37">
        <f>IFERROR(__xludf.DUMMYFUNCTION("""COMPUTED_VALUE"""),4.3)</f>
        <v>4.3</v>
      </c>
      <c r="L15" s="37">
        <f>IFERROR(__xludf.DUMMYFUNCTION("""COMPUTED_VALUE"""),5.0)</f>
        <v>5</v>
      </c>
      <c r="M15" s="32">
        <f>IFERROR(__xludf.DUMMYFUNCTION("""COMPUTED_VALUE"""),5.0)</f>
        <v>5</v>
      </c>
      <c r="N15" s="32"/>
      <c r="O15" s="38">
        <f>IFERROR(__xludf.DUMMYFUNCTION("""COMPUTED_VALUE"""),5.0)</f>
        <v>5</v>
      </c>
      <c r="P15" s="37"/>
      <c r="Q15" s="37">
        <f>IFERROR(__xludf.DUMMYFUNCTION("""COMPUTED_VALUE"""),5.0)</f>
        <v>5</v>
      </c>
      <c r="R15" s="37">
        <f>IFERROR(__xludf.DUMMYFUNCTION("""COMPUTED_VALUE"""),5.0)</f>
        <v>5</v>
      </c>
      <c r="S15" s="37">
        <f>IFERROR(__xludf.DUMMYFUNCTION("""COMPUTED_VALUE"""),5.0)</f>
        <v>5</v>
      </c>
      <c r="T15" s="37">
        <f>IFERROR(__xludf.DUMMYFUNCTION("""COMPUTED_VALUE"""),5.0)</f>
        <v>5</v>
      </c>
      <c r="U15" s="37">
        <f>IFERROR(__xludf.DUMMYFUNCTION("""COMPUTED_VALUE"""),2.5)</f>
        <v>2.5</v>
      </c>
      <c r="V15" s="37">
        <f>IFERROR(__xludf.DUMMYFUNCTION("""COMPUTED_VALUE"""),3.5)</f>
        <v>3.5</v>
      </c>
      <c r="W15" s="37" t="str">
        <f>IFERROR(__xludf.DUMMYFUNCTION("""COMPUTED_VALUE"""),"U00192690")</f>
        <v>U00192690</v>
      </c>
      <c r="X15" s="37"/>
      <c r="Y15" s="37"/>
    </row>
    <row r="16">
      <c r="A16" s="25">
        <v>15.0</v>
      </c>
      <c r="B16" s="28" t="s">
        <v>63</v>
      </c>
      <c r="C16" s="31">
        <f>IFERROR(__xludf.DUMMYFUNCTION("""COMPUTED_VALUE"""),1.5)</f>
        <v>1.5</v>
      </c>
      <c r="D16" s="32">
        <f>IFERROR(__xludf.DUMMYFUNCTION("""COMPUTED_VALUE"""),3.0)</f>
        <v>3</v>
      </c>
      <c r="E16" s="14">
        <f>IFERROR(__xludf.DUMMYFUNCTION("""COMPUTED_VALUE"""),4.9)</f>
        <v>4.9</v>
      </c>
      <c r="F16" s="33"/>
      <c r="G16" s="39">
        <f>IFERROR(__xludf.DUMMYFUNCTION("""COMPUTED_VALUE"""),3.0)</f>
        <v>3</v>
      </c>
      <c r="H16" s="1">
        <f>IFERROR(__xludf.DUMMYFUNCTION("""COMPUTED_VALUE"""),5.0)</f>
        <v>5</v>
      </c>
      <c r="I16" s="1">
        <f>IFERROR(__xludf.DUMMYFUNCTION("""COMPUTED_VALUE"""),5.0)</f>
        <v>5</v>
      </c>
      <c r="J16" s="37">
        <f>IFERROR(__xludf.DUMMYFUNCTION("""COMPUTED_VALUE"""),4.4)</f>
        <v>4.4</v>
      </c>
      <c r="K16" s="37">
        <f>IFERROR(__xludf.DUMMYFUNCTION("""COMPUTED_VALUE"""),4.0)</f>
        <v>4</v>
      </c>
      <c r="L16" s="37">
        <f>IFERROR(__xludf.DUMMYFUNCTION("""COMPUTED_VALUE"""),5.0)</f>
        <v>5</v>
      </c>
      <c r="M16" s="32">
        <f>IFERROR(__xludf.DUMMYFUNCTION("""COMPUTED_VALUE"""),2.0)</f>
        <v>2</v>
      </c>
      <c r="N16" s="32"/>
      <c r="O16" s="38">
        <f>IFERROR(__xludf.DUMMYFUNCTION("""COMPUTED_VALUE"""),5.0)</f>
        <v>5</v>
      </c>
      <c r="P16" s="37"/>
      <c r="Q16" s="37">
        <f>IFERROR(__xludf.DUMMYFUNCTION("""COMPUTED_VALUE"""),2.6)</f>
        <v>2.6</v>
      </c>
      <c r="R16" s="37">
        <f>IFERROR(__xludf.DUMMYFUNCTION("""COMPUTED_VALUE"""),3.5)</f>
        <v>3.5</v>
      </c>
      <c r="S16" s="37">
        <f>IFERROR(__xludf.DUMMYFUNCTION("""COMPUTED_VALUE"""),5.0)</f>
        <v>5</v>
      </c>
      <c r="T16" s="37">
        <f>IFERROR(__xludf.DUMMYFUNCTION("""COMPUTED_VALUE"""),5.0)</f>
        <v>5</v>
      </c>
      <c r="U16" s="37">
        <f>IFERROR(__xludf.DUMMYFUNCTION("""COMPUTED_VALUE"""),1.6)</f>
        <v>1.6</v>
      </c>
      <c r="V16" s="37">
        <f>IFERROR(__xludf.DUMMYFUNCTION("""COMPUTED_VALUE"""),2.3)</f>
        <v>2.3</v>
      </c>
      <c r="W16" s="37" t="str">
        <f>IFERROR(__xludf.DUMMYFUNCTION("""COMPUTED_VALUE"""),"U00196975")</f>
        <v>U00196975</v>
      </c>
      <c r="X16" s="37"/>
      <c r="Y16" s="37"/>
    </row>
    <row r="17">
      <c r="A17" s="25">
        <v>16.0</v>
      </c>
      <c r="B17" s="28" t="s">
        <v>66</v>
      </c>
      <c r="C17" s="31">
        <f>IFERROR(__xludf.DUMMYFUNCTION("""COMPUTED_VALUE"""),3.0)</f>
        <v>3</v>
      </c>
      <c r="D17" s="32">
        <f>IFERROR(__xludf.DUMMYFUNCTION("""COMPUTED_VALUE"""),2.5)</f>
        <v>2.5</v>
      </c>
      <c r="E17" s="14">
        <f>IFERROR(__xludf.DUMMYFUNCTION("""COMPUTED_VALUE"""),4.9)</f>
        <v>4.9</v>
      </c>
      <c r="F17" s="33"/>
      <c r="G17" s="39">
        <f>IFERROR(__xludf.DUMMYFUNCTION("""COMPUTED_VALUE"""),3.4)</f>
        <v>3.4</v>
      </c>
      <c r="H17" s="1">
        <f>IFERROR(__xludf.DUMMYFUNCTION("""COMPUTED_VALUE"""),4.9)</f>
        <v>4.9</v>
      </c>
      <c r="I17" s="1">
        <f>IFERROR(__xludf.DUMMYFUNCTION("""COMPUTED_VALUE"""),5.0)</f>
        <v>5</v>
      </c>
      <c r="J17" s="37">
        <f>IFERROR(__xludf.DUMMYFUNCTION("""COMPUTED_VALUE"""),4.1)</f>
        <v>4.1</v>
      </c>
      <c r="K17" s="37">
        <f>IFERROR(__xludf.DUMMYFUNCTION("""COMPUTED_VALUE"""),4.8)</f>
        <v>4.8</v>
      </c>
      <c r="L17" s="37">
        <f>IFERROR(__xludf.DUMMYFUNCTION("""COMPUTED_VALUE"""),4.7)</f>
        <v>4.7</v>
      </c>
      <c r="M17" s="32">
        <f>IFERROR(__xludf.DUMMYFUNCTION("""COMPUTED_VALUE"""),3.1)</f>
        <v>3.1</v>
      </c>
      <c r="N17" s="32"/>
      <c r="O17" s="38">
        <f>IFERROR(__xludf.DUMMYFUNCTION("""COMPUTED_VALUE"""),4.75)</f>
        <v>4.75</v>
      </c>
      <c r="P17" s="37"/>
      <c r="Q17" s="37">
        <f>IFERROR(__xludf.DUMMYFUNCTION("""COMPUTED_VALUE"""),3.0)</f>
        <v>3</v>
      </c>
      <c r="R17" s="37">
        <f>IFERROR(__xludf.DUMMYFUNCTION("""COMPUTED_VALUE"""),2.0)</f>
        <v>2</v>
      </c>
      <c r="S17" s="37">
        <f>IFERROR(__xludf.DUMMYFUNCTION("""COMPUTED_VALUE"""),4.5)</f>
        <v>4.5</v>
      </c>
      <c r="T17" s="37">
        <f>IFERROR(__xludf.DUMMYFUNCTION("""COMPUTED_VALUE"""),5.0)</f>
        <v>5</v>
      </c>
      <c r="U17" s="37">
        <f>IFERROR(__xludf.DUMMYFUNCTION("""COMPUTED_VALUE"""),1.9)</f>
        <v>1.9</v>
      </c>
      <c r="V17" s="37">
        <f>IFERROR(__xludf.DUMMYFUNCTION("""COMPUTED_VALUE"""),2.7)</f>
        <v>2.7</v>
      </c>
      <c r="W17" s="37" t="str">
        <f>IFERROR(__xludf.DUMMYFUNCTION("""COMPUTED_VALUE"""),"U00103192")</f>
        <v>U00103192</v>
      </c>
      <c r="X17" s="37"/>
      <c r="Y17" s="37"/>
    </row>
    <row r="18">
      <c r="A18" s="25">
        <v>17.0</v>
      </c>
      <c r="B18" s="28" t="s">
        <v>68</v>
      </c>
      <c r="C18" s="31">
        <f>IFERROR(__xludf.DUMMYFUNCTION("""COMPUTED_VALUE"""),2.7)</f>
        <v>2.7</v>
      </c>
      <c r="D18" s="32">
        <f>IFERROR(__xludf.DUMMYFUNCTION("""COMPUTED_VALUE"""),1.8)</f>
        <v>1.8</v>
      </c>
      <c r="E18" s="14">
        <f>IFERROR(__xludf.DUMMYFUNCTION("""COMPUTED_VALUE"""),4.9)</f>
        <v>4.9</v>
      </c>
      <c r="F18" s="33"/>
      <c r="G18" s="39">
        <f>IFERROR(__xludf.DUMMYFUNCTION("""COMPUTED_VALUE"""),3.0)</f>
        <v>3</v>
      </c>
      <c r="H18" s="1">
        <f>IFERROR(__xludf.DUMMYFUNCTION("""COMPUTED_VALUE"""),5.0)</f>
        <v>5</v>
      </c>
      <c r="I18" s="1">
        <f>IFERROR(__xludf.DUMMYFUNCTION("""COMPUTED_VALUE"""),5.0)</f>
        <v>5</v>
      </c>
      <c r="J18" s="37">
        <f>IFERROR(__xludf.DUMMYFUNCTION("""COMPUTED_VALUE"""),5.0)</f>
        <v>5</v>
      </c>
      <c r="K18" s="37">
        <f>IFERROR(__xludf.DUMMYFUNCTION("""COMPUTED_VALUE"""),4.4)</f>
        <v>4.4</v>
      </c>
      <c r="L18" s="37">
        <f>IFERROR(__xludf.DUMMYFUNCTION("""COMPUTED_VALUE"""),4.3)</f>
        <v>4.3</v>
      </c>
      <c r="M18" s="32">
        <f>IFERROR(__xludf.DUMMYFUNCTION("""COMPUTED_VALUE"""),2.6)</f>
        <v>2.6</v>
      </c>
      <c r="N18" s="32"/>
      <c r="O18" s="38">
        <f>IFERROR(__xludf.DUMMYFUNCTION("""COMPUTED_VALUE"""),5.0)</f>
        <v>5</v>
      </c>
      <c r="P18" s="37"/>
      <c r="Q18" s="37">
        <f>IFERROR(__xludf.DUMMYFUNCTION("""COMPUTED_VALUE"""),3.0)</f>
        <v>3</v>
      </c>
      <c r="R18" s="37">
        <f>IFERROR(__xludf.DUMMYFUNCTION("""COMPUTED_VALUE"""),3.5)</f>
        <v>3.5</v>
      </c>
      <c r="S18" s="37">
        <f>IFERROR(__xludf.DUMMYFUNCTION("""COMPUTED_VALUE"""),5.0)</f>
        <v>5</v>
      </c>
      <c r="T18" s="37">
        <f>IFERROR(__xludf.DUMMYFUNCTION("""COMPUTED_VALUE"""),5.0)</f>
        <v>5</v>
      </c>
      <c r="U18" s="37">
        <f>IFERROR(__xludf.DUMMYFUNCTION("""COMPUTED_VALUE"""),1.8)</f>
        <v>1.8</v>
      </c>
      <c r="V18" s="37">
        <f>IFERROR(__xludf.DUMMYFUNCTION("""COMPUTED_VALUE"""),2.4)</f>
        <v>2.4</v>
      </c>
      <c r="W18" s="37" t="str">
        <f>IFERROR(__xludf.DUMMYFUNCTION("""COMPUTED_VALUE"""),"U00198037")</f>
        <v>U00198037</v>
      </c>
      <c r="X18" s="37"/>
      <c r="Y18" s="37"/>
    </row>
    <row r="19">
      <c r="A19" s="25">
        <v>18.0</v>
      </c>
      <c r="B19" s="28" t="s">
        <v>69</v>
      </c>
      <c r="C19" s="31">
        <f>IFERROR(__xludf.DUMMYFUNCTION("""COMPUTED_VALUE"""),4.9)</f>
        <v>4.9</v>
      </c>
      <c r="D19" s="32">
        <f>IFERROR(__xludf.DUMMYFUNCTION("""COMPUTED_VALUE"""),3.9)</f>
        <v>3.9</v>
      </c>
      <c r="E19" s="14">
        <f>IFERROR(__xludf.DUMMYFUNCTION("""COMPUTED_VALUE"""),4.8)</f>
        <v>4.8</v>
      </c>
      <c r="F19" s="33">
        <f>IFERROR(__xludf.DUMMYFUNCTION("""COMPUTED_VALUE"""),4.0)</f>
        <v>4</v>
      </c>
      <c r="G19" s="39">
        <f>IFERROR(__xludf.DUMMYFUNCTION("""COMPUTED_VALUE"""),4.4)</f>
        <v>4.4</v>
      </c>
      <c r="H19" s="1">
        <f>IFERROR(__xludf.DUMMYFUNCTION("""COMPUTED_VALUE"""),4.7)</f>
        <v>4.7</v>
      </c>
      <c r="I19" s="1">
        <f>IFERROR(__xludf.DUMMYFUNCTION("""COMPUTED_VALUE"""),4.7)</f>
        <v>4.7</v>
      </c>
      <c r="J19" s="37">
        <f>IFERROR(__xludf.DUMMYFUNCTION("""COMPUTED_VALUE"""),4.7)</f>
        <v>4.7</v>
      </c>
      <c r="K19" s="37">
        <f>IFERROR(__xludf.DUMMYFUNCTION("""COMPUTED_VALUE"""),4.5)</f>
        <v>4.5</v>
      </c>
      <c r="L19" s="37">
        <f>IFERROR(__xludf.DUMMYFUNCTION("""COMPUTED_VALUE"""),5.0)</f>
        <v>5</v>
      </c>
      <c r="M19" s="32">
        <f>IFERROR(__xludf.DUMMYFUNCTION("""COMPUTED_VALUE"""),5.0)</f>
        <v>5</v>
      </c>
      <c r="N19" s="32"/>
      <c r="O19" s="38">
        <f>IFERROR(__xludf.DUMMYFUNCTION("""COMPUTED_VALUE"""),5.0)</f>
        <v>5</v>
      </c>
      <c r="P19" s="37"/>
      <c r="Q19" s="37">
        <f>IFERROR(__xludf.DUMMYFUNCTION("""COMPUTED_VALUE"""),5.0)</f>
        <v>5</v>
      </c>
      <c r="R19" s="37">
        <f>IFERROR(__xludf.DUMMYFUNCTION("""COMPUTED_VALUE"""),5.0)</f>
        <v>5</v>
      </c>
      <c r="S19" s="37">
        <f>IFERROR(__xludf.DUMMYFUNCTION("""COMPUTED_VALUE"""),5.0)</f>
        <v>5</v>
      </c>
      <c r="T19" s="37">
        <f>IFERROR(__xludf.DUMMYFUNCTION("""COMPUTED_VALUE"""),5.0)</f>
        <v>5</v>
      </c>
      <c r="U19" s="37">
        <f>IFERROR(__xludf.DUMMYFUNCTION("""COMPUTED_VALUE"""),2.5)</f>
        <v>2.5</v>
      </c>
      <c r="V19" s="37">
        <f>IFERROR(__xludf.DUMMYFUNCTION("""COMPUTED_VALUE"""),3.5)</f>
        <v>3.5</v>
      </c>
      <c r="W19" s="37" t="str">
        <f>IFERROR(__xludf.DUMMYFUNCTION("""COMPUTED_VALUE"""),"U00196298")</f>
        <v>U00196298</v>
      </c>
      <c r="X19" s="37"/>
      <c r="Y19" s="37"/>
    </row>
    <row r="20">
      <c r="A20" s="25">
        <v>19.0</v>
      </c>
      <c r="B20" s="28" t="s">
        <v>71</v>
      </c>
      <c r="C20" s="31">
        <f>IFERROR(__xludf.DUMMYFUNCTION("""COMPUTED_VALUE"""),3.2)</f>
        <v>3.2</v>
      </c>
      <c r="D20" s="32">
        <f>IFERROR(__xludf.DUMMYFUNCTION("""COMPUTED_VALUE"""),3.3)</f>
        <v>3.3</v>
      </c>
      <c r="E20" s="14">
        <f>IFERROR(__xludf.DUMMYFUNCTION("""COMPUTED_VALUE"""),4.7)</f>
        <v>4.7</v>
      </c>
      <c r="F20" s="33"/>
      <c r="G20" s="39">
        <f>IFERROR(__xludf.DUMMYFUNCTION("""COMPUTED_VALUE"""),3.7)</f>
        <v>3.7</v>
      </c>
      <c r="H20" s="1">
        <f>IFERROR(__xludf.DUMMYFUNCTION("""COMPUTED_VALUE"""),4.8)</f>
        <v>4.8</v>
      </c>
      <c r="I20" s="1">
        <f>IFERROR(__xludf.DUMMYFUNCTION("""COMPUTED_VALUE"""),4.9)</f>
        <v>4.9</v>
      </c>
      <c r="J20" s="37">
        <f>IFERROR(__xludf.DUMMYFUNCTION("""COMPUTED_VALUE"""),0.0)</f>
        <v>0</v>
      </c>
      <c r="K20" s="37">
        <f>IFERROR(__xludf.DUMMYFUNCTION("""COMPUTED_VALUE"""),4.0)</f>
        <v>4</v>
      </c>
      <c r="L20" s="37">
        <f>IFERROR(__xludf.DUMMYFUNCTION("""COMPUTED_VALUE"""),5.0)</f>
        <v>5</v>
      </c>
      <c r="M20" s="32">
        <f>IFERROR(__xludf.DUMMYFUNCTION("""COMPUTED_VALUE"""),1.1)</f>
        <v>1.1</v>
      </c>
      <c r="N20" s="32"/>
      <c r="O20" s="38">
        <f>IFERROR(__xludf.DUMMYFUNCTION("""COMPUTED_VALUE"""),5.0)</f>
        <v>5</v>
      </c>
      <c r="P20" s="37"/>
      <c r="Q20" s="37">
        <f>IFERROR(__xludf.DUMMYFUNCTION("""COMPUTED_VALUE"""),0.1)</f>
        <v>0.1</v>
      </c>
      <c r="R20" s="37">
        <f>IFERROR(__xludf.DUMMYFUNCTION("""COMPUTED_VALUE"""),3.1)</f>
        <v>3.1</v>
      </c>
      <c r="S20" s="37">
        <f>IFERROR(__xludf.DUMMYFUNCTION("""COMPUTED_VALUE"""),5.0)</f>
        <v>5</v>
      </c>
      <c r="T20" s="37">
        <f>IFERROR(__xludf.DUMMYFUNCTION("""COMPUTED_VALUE"""),5.0)</f>
        <v>5</v>
      </c>
      <c r="U20" s="37">
        <f>IFERROR(__xludf.DUMMYFUNCTION("""COMPUTED_VALUE"""),1.3)</f>
        <v>1.3</v>
      </c>
      <c r="V20" s="37">
        <f>IFERROR(__xludf.DUMMYFUNCTION("""COMPUTED_VALUE"""),2.5)</f>
        <v>2.5</v>
      </c>
      <c r="W20" s="37" t="str">
        <f>IFERROR(__xludf.DUMMYFUNCTION("""COMPUTED_VALUE"""),"U00198277")</f>
        <v>U00198277</v>
      </c>
      <c r="X20" s="37"/>
      <c r="Y20" s="37"/>
    </row>
    <row r="21">
      <c r="C21" s="1"/>
      <c r="D21" s="37"/>
      <c r="E21" s="1"/>
      <c r="F21" s="37"/>
      <c r="G21" s="37"/>
      <c r="H21" s="1"/>
      <c r="I21" s="1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</row>
    <row r="22"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</row>
  </sheetData>
  <conditionalFormatting sqref="G2:G20">
    <cfRule type="cellIs" dxfId="0" priority="1" operator="greaterThanOrEqual">
      <formula>3</formula>
    </cfRule>
  </conditionalFormatting>
  <conditionalFormatting sqref="G2:G20">
    <cfRule type="cellIs" dxfId="1" priority="2" operator="between">
      <formula>2</formula>
      <formula>2.999</formula>
    </cfRule>
  </conditionalFormatting>
  <conditionalFormatting sqref="G2:G20">
    <cfRule type="cellIs" dxfId="2" priority="3" operator="lessThanOrEqual">
      <formula>2</formula>
    </cfRule>
  </conditionalFormatting>
  <conditionalFormatting sqref="U2:U20">
    <cfRule type="cellIs" dxfId="2" priority="4" operator="lessThan">
      <formula>2</formula>
    </cfRule>
  </conditionalFormatting>
  <conditionalFormatting sqref="U2:U20">
    <cfRule type="cellIs" dxfId="3" priority="5" operator="between">
      <formula>2</formula>
      <formula>2.9999</formula>
    </cfRule>
  </conditionalFormatting>
  <conditionalFormatting sqref="U2:U20">
    <cfRule type="cellIs" dxfId="0" priority="6" operator="greaterThanOrEqual">
      <formula>3</formula>
    </cfRule>
  </conditionalFormatting>
  <conditionalFormatting sqref="V2:V20">
    <cfRule type="cellIs" dxfId="4" priority="7" operator="lessThan">
      <formula>2</formula>
    </cfRule>
  </conditionalFormatting>
  <conditionalFormatting sqref="V2:V20">
    <cfRule type="cellIs" dxfId="3" priority="8" operator="between">
      <formula>2</formula>
      <formula>2.9999</formula>
    </cfRule>
  </conditionalFormatting>
  <conditionalFormatting sqref="V2:V20">
    <cfRule type="cellIs" dxfId="0" priority="9" operator="greaterThanOrEqual">
      <formula>3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30.88"/>
    <col customWidth="1" min="3" max="15" width="4.88"/>
    <col customWidth="1" min="16" max="16" width="6.0"/>
    <col customWidth="1" min="17" max="17" width="5.25"/>
    <col customWidth="1" min="18" max="18" width="6.13"/>
    <col customWidth="1" min="19" max="19" width="6.0"/>
    <col customWidth="1" min="20" max="20" width="5.75"/>
    <col customWidth="1" min="21" max="21" width="5.5"/>
    <col customWidth="1" min="22" max="22" width="4.88"/>
    <col customWidth="1" min="23" max="23" width="5.63"/>
    <col customWidth="1" min="24" max="24" width="9.75"/>
    <col customWidth="1" min="25" max="25" width="6.38"/>
    <col customWidth="1" min="26" max="26" width="10.0"/>
    <col customWidth="1" min="27" max="27" width="10.13"/>
  </cols>
  <sheetData>
    <row r="1">
      <c r="A1" s="1" t="s">
        <v>0</v>
      </c>
      <c r="B1" s="1" t="s">
        <v>1</v>
      </c>
      <c r="C1" s="2" t="str">
        <f>IFERROR(__xludf.DUMMYFUNCTION("IMPORTRANGE(""1QvcJMsMaaauad-YqMjUGwOrUGvFFg3fViYyspGjIz6E"",""MAT2_A!C1:X24"")"),"P1")</f>
        <v>P1</v>
      </c>
      <c r="D1" s="2" t="str">
        <f>IFERROR(__xludf.DUMMYFUNCTION("""COMPUTED_VALUE"""),"P2")</f>
        <v>P2</v>
      </c>
      <c r="E1" s="4" t="str">
        <f>IFERROR(__xludf.DUMMYFUNCTION("""COMPUTED_VALUE"""),"PQT1")</f>
        <v>PQT1</v>
      </c>
      <c r="F1" s="5" t="str">
        <f>IFERROR(__xludf.DUMMYFUNCTION("""COMPUTED_VALUE"""),"PA1")</f>
        <v>PA1</v>
      </c>
      <c r="G1" s="6" t="str">
        <f>IFERROR(__xludf.DUMMYFUNCTION("""COMPUTED_VALUE"""),"1CTE")</f>
        <v>1CTE</v>
      </c>
      <c r="H1" s="7" t="str">
        <f>IFERROR(__xludf.DUMMYFUNCTION("""COMPUTED_VALUE"""),"Ta1")</f>
        <v>Ta1</v>
      </c>
      <c r="I1" s="7" t="str">
        <f>IFERROR(__xludf.DUMMYFUNCTION("""COMPUTED_VALUE"""),"Ta2")</f>
        <v>Ta2</v>
      </c>
      <c r="J1" s="8" t="str">
        <f>IFERROR(__xludf.DUMMYFUNCTION("""COMPUTED_VALUE"""),"Ta3")</f>
        <v>Ta3</v>
      </c>
      <c r="K1" s="8" t="str">
        <f>IFERROR(__xludf.DUMMYFUNCTION("""COMPUTED_VALUE"""),"Ta4")</f>
        <v>Ta4</v>
      </c>
      <c r="L1" s="8" t="str">
        <f>IFERROR(__xludf.DUMMYFUNCTION("""COMPUTED_VALUE"""),"Ta5")</f>
        <v>Ta5</v>
      </c>
      <c r="M1" s="8" t="str">
        <f>IFERROR(__xludf.DUMMYFUNCTION("""COMPUTED_VALUE"""),"Ta6")</f>
        <v>Ta6</v>
      </c>
      <c r="N1" s="10" t="str">
        <f>IFERROR(__xludf.DUMMYFUNCTION("""COMPUTED_VALUE"""),"P3")</f>
        <v>P3</v>
      </c>
      <c r="O1" s="10" t="str">
        <f>IFERROR(__xludf.DUMMYFUNCTION("""COMPUTED_VALUE"""),"P4")</f>
        <v>P4</v>
      </c>
      <c r="P1" s="12" t="str">
        <f>IFERROR(__xludf.DUMMYFUNCTION("""COMPUTED_VALUE"""),"PQT2")</f>
        <v>PQT2</v>
      </c>
      <c r="Q1" s="15" t="str">
        <f>IFERROR(__xludf.DUMMYFUNCTION("""COMPUTED_VALUE"""),"PA2")</f>
        <v>PA2</v>
      </c>
      <c r="R1" s="17" t="str">
        <f>IFERROR(__xludf.DUMMYFUNCTION("""COMPUTED_VALUE"""),"Ta7")</f>
        <v>Ta7</v>
      </c>
      <c r="S1" s="17" t="str">
        <f>IFERROR(__xludf.DUMMYFUNCTION("""COMPUTED_VALUE"""),"Ta8")</f>
        <v>Ta8</v>
      </c>
      <c r="T1" s="17" t="str">
        <f>IFERROR(__xludf.DUMMYFUNCTION("""COMPUTED_VALUE"""),"EXP")</f>
        <v>EXP</v>
      </c>
      <c r="U1" s="20" t="str">
        <f>IFERROR(__xludf.DUMMYFUNCTION("""COMPUTED_VALUE"""),"Ta9")</f>
        <v>Ta9</v>
      </c>
      <c r="V1" s="21" t="str">
        <f>IFERROR(__xludf.DUMMYFUNCTION("""COMPUTED_VALUE"""),"2CTE")</f>
        <v>2CTE</v>
      </c>
      <c r="W1" s="24" t="str">
        <f>IFERROR(__xludf.DUMMYFUNCTION("""COMPUTED_VALUE"""),"FINAL")</f>
        <v>FINAL</v>
      </c>
      <c r="X1" s="25" t="str">
        <f>IFERROR(__xludf.DUMMYFUNCTION("""COMPUTED_VALUE"""),"ID")</f>
        <v>ID</v>
      </c>
      <c r="Y1" s="25"/>
      <c r="Z1" s="26"/>
      <c r="AA1" s="1"/>
    </row>
    <row r="2">
      <c r="A2" s="25">
        <v>1.0</v>
      </c>
      <c r="B2" s="28" t="s">
        <v>2</v>
      </c>
      <c r="C2" s="31">
        <f>IFERROR(__xludf.DUMMYFUNCTION("""COMPUTED_VALUE"""),4.1)</f>
        <v>4.1</v>
      </c>
      <c r="D2" s="32">
        <f>IFERROR(__xludf.DUMMYFUNCTION("""COMPUTED_VALUE"""),3.0)</f>
        <v>3</v>
      </c>
      <c r="E2" s="14">
        <f>IFERROR(__xludf.DUMMYFUNCTION("""COMPUTED_VALUE"""),4.9)</f>
        <v>4.9</v>
      </c>
      <c r="F2" s="33">
        <f>IFERROR(__xludf.DUMMYFUNCTION("""COMPUTED_VALUE"""),5.0)</f>
        <v>5</v>
      </c>
      <c r="G2" s="35">
        <f>IFERROR(__xludf.DUMMYFUNCTION("""COMPUTED_VALUE"""),4.1)</f>
        <v>4.1</v>
      </c>
      <c r="H2" s="1">
        <f>IFERROR(__xludf.DUMMYFUNCTION("""COMPUTED_VALUE"""),4.7)</f>
        <v>4.7</v>
      </c>
      <c r="I2" s="1">
        <f>IFERROR(__xludf.DUMMYFUNCTION("""COMPUTED_VALUE"""),4.9)</f>
        <v>4.9</v>
      </c>
      <c r="J2" s="37">
        <f>IFERROR(__xludf.DUMMYFUNCTION("""COMPUTED_VALUE"""),4.8)</f>
        <v>4.8</v>
      </c>
      <c r="K2" s="37">
        <f>IFERROR(__xludf.DUMMYFUNCTION("""COMPUTED_VALUE"""),5.0)</f>
        <v>5</v>
      </c>
      <c r="L2" s="37">
        <f>IFERROR(__xludf.DUMMYFUNCTION("""COMPUTED_VALUE"""),5.0)</f>
        <v>5</v>
      </c>
      <c r="M2" s="37">
        <f>IFERROR(__xludf.DUMMYFUNCTION("""COMPUTED_VALUE"""),4.8)</f>
        <v>4.8</v>
      </c>
      <c r="N2" s="32">
        <f>IFERROR(__xludf.DUMMYFUNCTION("""COMPUTED_VALUE"""),4.7)</f>
        <v>4.7</v>
      </c>
      <c r="O2" s="32">
        <f>IFERROR(__xludf.DUMMYFUNCTION("""COMPUTED_VALUE"""),0.0)</f>
        <v>0</v>
      </c>
      <c r="P2" s="38">
        <f>IFERROR(__xludf.DUMMYFUNCTION("""COMPUTED_VALUE"""),4.633333333333333)</f>
        <v>4.633333333</v>
      </c>
      <c r="Q2" s="37"/>
      <c r="R2" s="37">
        <f>IFERROR(__xludf.DUMMYFUNCTION("""COMPUTED_VALUE"""),4.5)</f>
        <v>4.5</v>
      </c>
      <c r="S2" s="37">
        <f>IFERROR(__xludf.DUMMYFUNCTION("""COMPUTED_VALUE"""),4.6)</f>
        <v>4.6</v>
      </c>
      <c r="T2" s="37">
        <f>IFERROR(__xludf.DUMMYFUNCTION("""COMPUTED_VALUE"""),4.8)</f>
        <v>4.8</v>
      </c>
      <c r="U2" s="37"/>
      <c r="V2" s="37">
        <f>IFERROR(__xludf.DUMMYFUNCTION("""COMPUTED_VALUE"""),2.3)</f>
        <v>2.3</v>
      </c>
      <c r="W2" s="37">
        <f>IFERROR(__xludf.DUMMYFUNCTION("""COMPUTED_VALUE"""),3.1999999999999997)</f>
        <v>3.2</v>
      </c>
      <c r="X2" s="37" t="str">
        <f>IFERROR(__xludf.DUMMYFUNCTION("""COMPUTED_VALUE"""),"U00193676")</f>
        <v>U00193676</v>
      </c>
      <c r="Y2" s="37"/>
      <c r="Z2" s="1"/>
      <c r="AA2" s="1"/>
    </row>
    <row r="3">
      <c r="A3" s="25">
        <v>2.0</v>
      </c>
      <c r="B3" s="28" t="s">
        <v>6</v>
      </c>
      <c r="C3" s="31">
        <f>IFERROR(__xludf.DUMMYFUNCTION("""COMPUTED_VALUE"""),2.8)</f>
        <v>2.8</v>
      </c>
      <c r="D3" s="32">
        <f>IFERROR(__xludf.DUMMYFUNCTION("""COMPUTED_VALUE"""),3.6)</f>
        <v>3.6</v>
      </c>
      <c r="E3" s="14">
        <f>IFERROR(__xludf.DUMMYFUNCTION("""COMPUTED_VALUE"""),3.9)</f>
        <v>3.9</v>
      </c>
      <c r="F3" s="33">
        <f>IFERROR(__xludf.DUMMYFUNCTION("""COMPUTED_VALUE"""),5.0)</f>
        <v>5</v>
      </c>
      <c r="G3" s="35">
        <f>IFERROR(__xludf.DUMMYFUNCTION("""COMPUTED_VALUE"""),3.7)</f>
        <v>3.7</v>
      </c>
      <c r="H3" s="1">
        <f>IFERROR(__xludf.DUMMYFUNCTION("""COMPUTED_VALUE"""),5.0)</f>
        <v>5</v>
      </c>
      <c r="I3" s="1">
        <f>IFERROR(__xludf.DUMMYFUNCTION("""COMPUTED_VALUE"""),4.9)</f>
        <v>4.9</v>
      </c>
      <c r="J3" s="37">
        <f>IFERROR(__xludf.DUMMYFUNCTION("""COMPUTED_VALUE"""),5.0)</f>
        <v>5</v>
      </c>
      <c r="K3" s="37">
        <f>IFERROR(__xludf.DUMMYFUNCTION("""COMPUTED_VALUE"""),0.0)</f>
        <v>0</v>
      </c>
      <c r="L3" s="37">
        <f>IFERROR(__xludf.DUMMYFUNCTION("""COMPUTED_VALUE"""),4.8)</f>
        <v>4.8</v>
      </c>
      <c r="M3" s="37">
        <f>IFERROR(__xludf.DUMMYFUNCTION("""COMPUTED_VALUE"""),0.0)</f>
        <v>0</v>
      </c>
      <c r="N3" s="32">
        <f>IFERROR(__xludf.DUMMYFUNCTION("""COMPUTED_VALUE"""),2.8)</f>
        <v>2.8</v>
      </c>
      <c r="O3" s="32">
        <f>IFERROR(__xludf.DUMMYFUNCTION("""COMPUTED_VALUE"""),0.0)</f>
        <v>0</v>
      </c>
      <c r="P3" s="38">
        <f>IFERROR(__xludf.DUMMYFUNCTION("""COMPUTED_VALUE"""),4.5)</f>
        <v>4.5</v>
      </c>
      <c r="Q3" s="37"/>
      <c r="R3" s="37">
        <f>IFERROR(__xludf.DUMMYFUNCTION("""COMPUTED_VALUE"""),4.0)</f>
        <v>4</v>
      </c>
      <c r="S3" s="37">
        <f>IFERROR(__xludf.DUMMYFUNCTION("""COMPUTED_VALUE"""),4.8)</f>
        <v>4.8</v>
      </c>
      <c r="T3" s="37">
        <f>IFERROR(__xludf.DUMMYFUNCTION("""COMPUTED_VALUE"""),4.7)</f>
        <v>4.7</v>
      </c>
      <c r="U3" s="37"/>
      <c r="V3" s="37">
        <f>IFERROR(__xludf.DUMMYFUNCTION("""COMPUTED_VALUE"""),1.7)</f>
        <v>1.7</v>
      </c>
      <c r="W3" s="37">
        <f>IFERROR(__xludf.DUMMYFUNCTION("""COMPUTED_VALUE"""),2.7)</f>
        <v>2.7</v>
      </c>
      <c r="X3" s="37" t="str">
        <f>IFERROR(__xludf.DUMMYFUNCTION("""COMPUTED_VALUE"""),"U00194333")</f>
        <v>U00194333</v>
      </c>
      <c r="Y3" s="37"/>
      <c r="Z3" s="1"/>
      <c r="AA3" s="1"/>
    </row>
    <row r="4">
      <c r="A4" s="25">
        <v>3.0</v>
      </c>
      <c r="B4" s="28" t="s">
        <v>8</v>
      </c>
      <c r="C4" s="31">
        <f>IFERROR(__xludf.DUMMYFUNCTION("""COMPUTED_VALUE"""),3.0)</f>
        <v>3</v>
      </c>
      <c r="D4" s="32">
        <f>IFERROR(__xludf.DUMMYFUNCTION("""COMPUTED_VALUE"""),3.8)</f>
        <v>3.8</v>
      </c>
      <c r="E4" s="14">
        <f>IFERROR(__xludf.DUMMYFUNCTION("""COMPUTED_VALUE"""),4.8)</f>
        <v>4.8</v>
      </c>
      <c r="F4" s="33">
        <f>IFERROR(__xludf.DUMMYFUNCTION("""COMPUTED_VALUE"""),5.0)</f>
        <v>5</v>
      </c>
      <c r="G4" s="35">
        <f>IFERROR(__xludf.DUMMYFUNCTION("""COMPUTED_VALUE"""),4.0)</f>
        <v>4</v>
      </c>
      <c r="H4" s="1">
        <f>IFERROR(__xludf.DUMMYFUNCTION("""COMPUTED_VALUE"""),4.5)</f>
        <v>4.5</v>
      </c>
      <c r="I4" s="1">
        <f>IFERROR(__xludf.DUMMYFUNCTION("""COMPUTED_VALUE"""),5.0)</f>
        <v>5</v>
      </c>
      <c r="J4" s="37">
        <f>IFERROR(__xludf.DUMMYFUNCTION("""COMPUTED_VALUE"""),4.3)</f>
        <v>4.3</v>
      </c>
      <c r="K4" s="37">
        <f>IFERROR(__xludf.DUMMYFUNCTION("""COMPUTED_VALUE"""),5.0)</f>
        <v>5</v>
      </c>
      <c r="L4" s="37">
        <f>IFERROR(__xludf.DUMMYFUNCTION("""COMPUTED_VALUE"""),4.8)</f>
        <v>4.8</v>
      </c>
      <c r="M4" s="37">
        <f>IFERROR(__xludf.DUMMYFUNCTION("""COMPUTED_VALUE"""),4.8)</f>
        <v>4.8</v>
      </c>
      <c r="N4" s="32">
        <f>IFERROR(__xludf.DUMMYFUNCTION("""COMPUTED_VALUE"""),4.2)</f>
        <v>4.2</v>
      </c>
      <c r="O4" s="32">
        <f>IFERROR(__xludf.DUMMYFUNCTION("""COMPUTED_VALUE"""),0.0)</f>
        <v>0</v>
      </c>
      <c r="P4" s="38">
        <f>IFERROR(__xludf.DUMMYFUNCTION("""COMPUTED_VALUE"""),2.6666666666666665)</f>
        <v>2.666666667</v>
      </c>
      <c r="Q4" s="37"/>
      <c r="R4" s="37">
        <f>IFERROR(__xludf.DUMMYFUNCTION("""COMPUTED_VALUE"""),3.3)</f>
        <v>3.3</v>
      </c>
      <c r="S4" s="37">
        <f>IFERROR(__xludf.DUMMYFUNCTION("""COMPUTED_VALUE"""),0.0)</f>
        <v>0</v>
      </c>
      <c r="T4" s="37">
        <f>IFERROR(__xludf.DUMMYFUNCTION("""COMPUTED_VALUE"""),4.7)</f>
        <v>4.7</v>
      </c>
      <c r="U4" s="37"/>
      <c r="V4" s="37">
        <f>IFERROR(__xludf.DUMMYFUNCTION("""COMPUTED_VALUE"""),1.8)</f>
        <v>1.8</v>
      </c>
      <c r="W4" s="37">
        <f>IFERROR(__xludf.DUMMYFUNCTION("""COMPUTED_VALUE"""),2.9)</f>
        <v>2.9</v>
      </c>
      <c r="X4" s="37" t="str">
        <f>IFERROR(__xludf.DUMMYFUNCTION("""COMPUTED_VALUE"""),"U00194232")</f>
        <v>U00194232</v>
      </c>
      <c r="Y4" s="37"/>
      <c r="Z4" s="1"/>
      <c r="AA4" s="1"/>
    </row>
    <row r="5">
      <c r="A5" s="25">
        <v>4.0</v>
      </c>
      <c r="B5" s="28" t="s">
        <v>12</v>
      </c>
      <c r="C5" s="31">
        <f>IFERROR(__xludf.DUMMYFUNCTION("""COMPUTED_VALUE"""),3.9)</f>
        <v>3.9</v>
      </c>
      <c r="D5" s="32">
        <f>IFERROR(__xludf.DUMMYFUNCTION("""COMPUTED_VALUE"""),3.1)</f>
        <v>3.1</v>
      </c>
      <c r="E5" s="14">
        <f>IFERROR(__xludf.DUMMYFUNCTION("""COMPUTED_VALUE"""),4.8)</f>
        <v>4.8</v>
      </c>
      <c r="F5" s="33">
        <f>IFERROR(__xludf.DUMMYFUNCTION("""COMPUTED_VALUE"""),5.0)</f>
        <v>5</v>
      </c>
      <c r="G5" s="35">
        <f>IFERROR(__xludf.DUMMYFUNCTION("""COMPUTED_VALUE"""),4.1)</f>
        <v>4.1</v>
      </c>
      <c r="H5" s="1">
        <f>IFERROR(__xludf.DUMMYFUNCTION("""COMPUTED_VALUE"""),3.8)</f>
        <v>3.8</v>
      </c>
      <c r="I5" s="1">
        <f>IFERROR(__xludf.DUMMYFUNCTION("""COMPUTED_VALUE"""),4.9)</f>
        <v>4.9</v>
      </c>
      <c r="J5" s="37">
        <f>IFERROR(__xludf.DUMMYFUNCTION("""COMPUTED_VALUE"""),5.0)</f>
        <v>5</v>
      </c>
      <c r="K5" s="37">
        <f>IFERROR(__xludf.DUMMYFUNCTION("""COMPUTED_VALUE"""),4.5)</f>
        <v>4.5</v>
      </c>
      <c r="L5" s="37">
        <f>IFERROR(__xludf.DUMMYFUNCTION("""COMPUTED_VALUE"""),4.8)</f>
        <v>4.8</v>
      </c>
      <c r="M5" s="37">
        <f>IFERROR(__xludf.DUMMYFUNCTION("""COMPUTED_VALUE"""),4.8)</f>
        <v>4.8</v>
      </c>
      <c r="N5" s="32">
        <f>IFERROR(__xludf.DUMMYFUNCTION("""COMPUTED_VALUE"""),4.8)</f>
        <v>4.8</v>
      </c>
      <c r="O5" s="32">
        <f>IFERROR(__xludf.DUMMYFUNCTION("""COMPUTED_VALUE"""),0.0)</f>
        <v>0</v>
      </c>
      <c r="P5" s="38">
        <f>IFERROR(__xludf.DUMMYFUNCTION("""COMPUTED_VALUE"""),4.8999999999999995)</f>
        <v>4.9</v>
      </c>
      <c r="Q5" s="37"/>
      <c r="R5" s="37">
        <f>IFERROR(__xludf.DUMMYFUNCTION("""COMPUTED_VALUE"""),5.0)</f>
        <v>5</v>
      </c>
      <c r="S5" s="37">
        <f>IFERROR(__xludf.DUMMYFUNCTION("""COMPUTED_VALUE"""),4.9)</f>
        <v>4.9</v>
      </c>
      <c r="T5" s="37">
        <f>IFERROR(__xludf.DUMMYFUNCTION("""COMPUTED_VALUE"""),4.8)</f>
        <v>4.8</v>
      </c>
      <c r="U5" s="37"/>
      <c r="V5" s="37">
        <f>IFERROR(__xludf.DUMMYFUNCTION("""COMPUTED_VALUE"""),2.4)</f>
        <v>2.4</v>
      </c>
      <c r="W5" s="37">
        <f>IFERROR(__xludf.DUMMYFUNCTION("""COMPUTED_VALUE"""),3.25)</f>
        <v>3.25</v>
      </c>
      <c r="X5" s="37" t="str">
        <f>IFERROR(__xludf.DUMMYFUNCTION("""COMPUTED_VALUE"""),"U00192947")</f>
        <v>U00192947</v>
      </c>
      <c r="Y5" s="37"/>
      <c r="Z5" s="1"/>
      <c r="AA5" s="1"/>
    </row>
    <row r="6">
      <c r="A6" s="25">
        <v>5.0</v>
      </c>
      <c r="B6" s="28" t="s">
        <v>15</v>
      </c>
      <c r="C6" s="31">
        <f>IFERROR(__xludf.DUMMYFUNCTION("""COMPUTED_VALUE"""),4.1)</f>
        <v>4.1</v>
      </c>
      <c r="D6" s="32">
        <f>IFERROR(__xludf.DUMMYFUNCTION("""COMPUTED_VALUE"""),3.4)</f>
        <v>3.4</v>
      </c>
      <c r="E6" s="14">
        <f>IFERROR(__xludf.DUMMYFUNCTION("""COMPUTED_VALUE"""),4.9)</f>
        <v>4.9</v>
      </c>
      <c r="F6" s="33">
        <f>IFERROR(__xludf.DUMMYFUNCTION("""COMPUTED_VALUE"""),5.0)</f>
        <v>5</v>
      </c>
      <c r="G6" s="35">
        <f>IFERROR(__xludf.DUMMYFUNCTION("""COMPUTED_VALUE"""),4.2)</f>
        <v>4.2</v>
      </c>
      <c r="H6" s="1">
        <f>IFERROR(__xludf.DUMMYFUNCTION("""COMPUTED_VALUE"""),3.8)</f>
        <v>3.8</v>
      </c>
      <c r="I6" s="1">
        <f>IFERROR(__xludf.DUMMYFUNCTION("""COMPUTED_VALUE"""),4.8)</f>
        <v>4.8</v>
      </c>
      <c r="J6" s="37">
        <f>IFERROR(__xludf.DUMMYFUNCTION("""COMPUTED_VALUE"""),5.0)</f>
        <v>5</v>
      </c>
      <c r="K6" s="37">
        <f>IFERROR(__xludf.DUMMYFUNCTION("""COMPUTED_VALUE"""),5.0)</f>
        <v>5</v>
      </c>
      <c r="L6" s="37">
        <f>IFERROR(__xludf.DUMMYFUNCTION("""COMPUTED_VALUE"""),4.8)</f>
        <v>4.8</v>
      </c>
      <c r="M6" s="37">
        <f>IFERROR(__xludf.DUMMYFUNCTION("""COMPUTED_VALUE"""),5.0)</f>
        <v>5</v>
      </c>
      <c r="N6" s="32">
        <f>IFERROR(__xludf.DUMMYFUNCTION("""COMPUTED_VALUE"""),3.8)</f>
        <v>3.8</v>
      </c>
      <c r="O6" s="32">
        <f>IFERROR(__xludf.DUMMYFUNCTION("""COMPUTED_VALUE"""),0.0)</f>
        <v>0</v>
      </c>
      <c r="P6" s="38">
        <f>IFERROR(__xludf.DUMMYFUNCTION("""COMPUTED_VALUE"""),3.233333333333333)</f>
        <v>3.233333333</v>
      </c>
      <c r="Q6" s="37"/>
      <c r="R6" s="37">
        <f>IFERROR(__xludf.DUMMYFUNCTION("""COMPUTED_VALUE"""),5.0)</f>
        <v>5</v>
      </c>
      <c r="S6" s="37">
        <f>IFERROR(__xludf.DUMMYFUNCTION("""COMPUTED_VALUE"""),0.0)</f>
        <v>0</v>
      </c>
      <c r="T6" s="37">
        <f>IFERROR(__xludf.DUMMYFUNCTION("""COMPUTED_VALUE"""),4.7)</f>
        <v>4.7</v>
      </c>
      <c r="U6" s="37"/>
      <c r="V6" s="37">
        <f>IFERROR(__xludf.DUMMYFUNCTION("""COMPUTED_VALUE"""),1.8)</f>
        <v>1.8</v>
      </c>
      <c r="W6" s="37">
        <f>IFERROR(__xludf.DUMMYFUNCTION("""COMPUTED_VALUE"""),3.0)</f>
        <v>3</v>
      </c>
      <c r="X6" s="37" t="str">
        <f>IFERROR(__xludf.DUMMYFUNCTION("""COMPUTED_VALUE"""),"U00194229")</f>
        <v>U00194229</v>
      </c>
      <c r="Y6" s="37"/>
      <c r="Z6" s="1"/>
      <c r="AA6" s="1"/>
    </row>
    <row r="7">
      <c r="A7" s="25">
        <v>6.0</v>
      </c>
      <c r="B7" s="28" t="s">
        <v>17</v>
      </c>
      <c r="C7" s="31">
        <f>IFERROR(__xludf.DUMMYFUNCTION("""COMPUTED_VALUE"""),3.0)</f>
        <v>3</v>
      </c>
      <c r="D7" s="32">
        <f>IFERROR(__xludf.DUMMYFUNCTION("""COMPUTED_VALUE"""),2.4)</f>
        <v>2.4</v>
      </c>
      <c r="E7" s="14">
        <f>IFERROR(__xludf.DUMMYFUNCTION("""COMPUTED_VALUE"""),4.9)</f>
        <v>4.9</v>
      </c>
      <c r="F7" s="33">
        <f>IFERROR(__xludf.DUMMYFUNCTION("""COMPUTED_VALUE"""),5.0)</f>
        <v>5</v>
      </c>
      <c r="G7" s="35">
        <f>IFERROR(__xludf.DUMMYFUNCTION("""COMPUTED_VALUE"""),3.6)</f>
        <v>3.6</v>
      </c>
      <c r="H7" s="1">
        <f>IFERROR(__xludf.DUMMYFUNCTION("""COMPUTED_VALUE"""),5.0)</f>
        <v>5</v>
      </c>
      <c r="I7" s="1">
        <f>IFERROR(__xludf.DUMMYFUNCTION("""COMPUTED_VALUE"""),4.6)</f>
        <v>4.6</v>
      </c>
      <c r="J7" s="37">
        <f>IFERROR(__xludf.DUMMYFUNCTION("""COMPUTED_VALUE"""),4.6)</f>
        <v>4.6</v>
      </c>
      <c r="K7" s="37">
        <f>IFERROR(__xludf.DUMMYFUNCTION("""COMPUTED_VALUE"""),5.0)</f>
        <v>5</v>
      </c>
      <c r="L7" s="37">
        <f>IFERROR(__xludf.DUMMYFUNCTION("""COMPUTED_VALUE"""),5.0)</f>
        <v>5</v>
      </c>
      <c r="M7" s="37">
        <f>IFERROR(__xludf.DUMMYFUNCTION("""COMPUTED_VALUE"""),5.0)</f>
        <v>5</v>
      </c>
      <c r="N7" s="32">
        <f>IFERROR(__xludf.DUMMYFUNCTION("""COMPUTED_VALUE"""),3.8)</f>
        <v>3.8</v>
      </c>
      <c r="O7" s="32">
        <f>IFERROR(__xludf.DUMMYFUNCTION("""COMPUTED_VALUE"""),0.0)</f>
        <v>0</v>
      </c>
      <c r="P7" s="38">
        <f>IFERROR(__xludf.DUMMYFUNCTION("""COMPUTED_VALUE"""),4.866666666666666)</f>
        <v>4.866666667</v>
      </c>
      <c r="Q7" s="37"/>
      <c r="R7" s="37">
        <f>IFERROR(__xludf.DUMMYFUNCTION("""COMPUTED_VALUE"""),5.0)</f>
        <v>5</v>
      </c>
      <c r="S7" s="37">
        <f>IFERROR(__xludf.DUMMYFUNCTION("""COMPUTED_VALUE"""),4.7)</f>
        <v>4.7</v>
      </c>
      <c r="T7" s="37">
        <f>IFERROR(__xludf.DUMMYFUNCTION("""COMPUTED_VALUE"""),4.9)</f>
        <v>4.9</v>
      </c>
      <c r="U7" s="37"/>
      <c r="V7" s="37">
        <f>IFERROR(__xludf.DUMMYFUNCTION("""COMPUTED_VALUE"""),2.1)</f>
        <v>2.1</v>
      </c>
      <c r="W7" s="37">
        <f>IFERROR(__xludf.DUMMYFUNCTION("""COMPUTED_VALUE"""),2.85)</f>
        <v>2.85</v>
      </c>
      <c r="X7" s="37" t="str">
        <f>IFERROR(__xludf.DUMMYFUNCTION("""COMPUTED_VALUE"""),"U00193240")</f>
        <v>U00193240</v>
      </c>
      <c r="Y7" s="37"/>
      <c r="Z7" s="1"/>
      <c r="AA7" s="1"/>
    </row>
    <row r="8">
      <c r="A8" s="25">
        <v>7.0</v>
      </c>
      <c r="B8" s="28" t="s">
        <v>21</v>
      </c>
      <c r="C8" s="31">
        <f>IFERROR(__xludf.DUMMYFUNCTION("""COMPUTED_VALUE"""),4.5)</f>
        <v>4.5</v>
      </c>
      <c r="D8" s="32">
        <f>IFERROR(__xludf.DUMMYFUNCTION("""COMPUTED_VALUE"""),2.3)</f>
        <v>2.3</v>
      </c>
      <c r="E8" s="14">
        <f>IFERROR(__xludf.DUMMYFUNCTION("""COMPUTED_VALUE"""),4.6)</f>
        <v>4.6</v>
      </c>
      <c r="F8" s="33">
        <f>IFERROR(__xludf.DUMMYFUNCTION("""COMPUTED_VALUE"""),5.0)</f>
        <v>5</v>
      </c>
      <c r="G8" s="35">
        <f>IFERROR(__xludf.DUMMYFUNCTION("""COMPUTED_VALUE"""),4.0)</f>
        <v>4</v>
      </c>
      <c r="H8" s="1">
        <f>IFERROR(__xludf.DUMMYFUNCTION("""COMPUTED_VALUE"""),4.8)</f>
        <v>4.8</v>
      </c>
      <c r="I8" s="1">
        <f>IFERROR(__xludf.DUMMYFUNCTION("""COMPUTED_VALUE"""),5.0)</f>
        <v>5</v>
      </c>
      <c r="J8" s="37">
        <f>IFERROR(__xludf.DUMMYFUNCTION("""COMPUTED_VALUE"""),5.0)</f>
        <v>5</v>
      </c>
      <c r="K8" s="37">
        <f>IFERROR(__xludf.DUMMYFUNCTION("""COMPUTED_VALUE"""),4.4)</f>
        <v>4.4</v>
      </c>
      <c r="L8" s="37">
        <f>IFERROR(__xludf.DUMMYFUNCTION("""COMPUTED_VALUE"""),3.5)</f>
        <v>3.5</v>
      </c>
      <c r="M8" s="37">
        <f>IFERROR(__xludf.DUMMYFUNCTION("""COMPUTED_VALUE"""),3.8)</f>
        <v>3.8</v>
      </c>
      <c r="N8" s="32">
        <f>IFERROR(__xludf.DUMMYFUNCTION("""COMPUTED_VALUE"""),4.0)</f>
        <v>4</v>
      </c>
      <c r="O8" s="32">
        <f>IFERROR(__xludf.DUMMYFUNCTION("""COMPUTED_VALUE"""),0.0)</f>
        <v>0</v>
      </c>
      <c r="P8" s="38">
        <f>IFERROR(__xludf.DUMMYFUNCTION("""COMPUTED_VALUE"""),4.7)</f>
        <v>4.7</v>
      </c>
      <c r="Q8" s="37"/>
      <c r="R8" s="37">
        <f>IFERROR(__xludf.DUMMYFUNCTION("""COMPUTED_VALUE"""),4.5)</f>
        <v>4.5</v>
      </c>
      <c r="S8" s="37">
        <f>IFERROR(__xludf.DUMMYFUNCTION("""COMPUTED_VALUE"""),4.9)</f>
        <v>4.9</v>
      </c>
      <c r="T8" s="37">
        <f>IFERROR(__xludf.DUMMYFUNCTION("""COMPUTED_VALUE"""),4.7)</f>
        <v>4.7</v>
      </c>
      <c r="U8" s="37"/>
      <c r="V8" s="37">
        <f>IFERROR(__xludf.DUMMYFUNCTION("""COMPUTED_VALUE"""),2.1)</f>
        <v>2.1</v>
      </c>
      <c r="W8" s="37">
        <f>IFERROR(__xludf.DUMMYFUNCTION("""COMPUTED_VALUE"""),3.05)</f>
        <v>3.05</v>
      </c>
      <c r="X8" s="37" t="str">
        <f>IFERROR(__xludf.DUMMYFUNCTION("""COMPUTED_VALUE"""),"U00191981")</f>
        <v>U00191981</v>
      </c>
      <c r="Y8" s="37"/>
      <c r="Z8" s="1"/>
      <c r="AA8" s="1"/>
    </row>
    <row r="9">
      <c r="A9" s="25">
        <v>8.0</v>
      </c>
      <c r="B9" s="28" t="s">
        <v>24</v>
      </c>
      <c r="C9" s="31">
        <f>IFERROR(__xludf.DUMMYFUNCTION("""COMPUTED_VALUE"""),2.6)</f>
        <v>2.6</v>
      </c>
      <c r="D9" s="32">
        <f>IFERROR(__xludf.DUMMYFUNCTION("""COMPUTED_VALUE"""),1.4)</f>
        <v>1.4</v>
      </c>
      <c r="E9" s="14">
        <f>IFERROR(__xludf.DUMMYFUNCTION("""COMPUTED_VALUE"""),4.9)</f>
        <v>4.9</v>
      </c>
      <c r="F9" s="33">
        <f>IFERROR(__xludf.DUMMYFUNCTION("""COMPUTED_VALUE"""),5.0)</f>
        <v>5</v>
      </c>
      <c r="G9" s="35">
        <f>IFERROR(__xludf.DUMMYFUNCTION("""COMPUTED_VALUE"""),3.2)</f>
        <v>3.2</v>
      </c>
      <c r="H9" s="1">
        <f>IFERROR(__xludf.DUMMYFUNCTION("""COMPUTED_VALUE"""),4.5)</f>
        <v>4.5</v>
      </c>
      <c r="I9" s="1">
        <f>IFERROR(__xludf.DUMMYFUNCTION("""COMPUTED_VALUE"""),4.9)</f>
        <v>4.9</v>
      </c>
      <c r="J9" s="37">
        <f>IFERROR(__xludf.DUMMYFUNCTION("""COMPUTED_VALUE"""),5.0)</f>
        <v>5</v>
      </c>
      <c r="K9" s="37">
        <f>IFERROR(__xludf.DUMMYFUNCTION("""COMPUTED_VALUE"""),5.0)</f>
        <v>5</v>
      </c>
      <c r="L9" s="37">
        <f>IFERROR(__xludf.DUMMYFUNCTION("""COMPUTED_VALUE"""),5.0)</f>
        <v>5</v>
      </c>
      <c r="M9" s="37">
        <f>IFERROR(__xludf.DUMMYFUNCTION("""COMPUTED_VALUE"""),4.8)</f>
        <v>4.8</v>
      </c>
      <c r="N9" s="32">
        <f>IFERROR(__xludf.DUMMYFUNCTION("""COMPUTED_VALUE"""),3.1)</f>
        <v>3.1</v>
      </c>
      <c r="O9" s="32">
        <f>IFERROR(__xludf.DUMMYFUNCTION("""COMPUTED_VALUE"""),0.0)</f>
        <v>0</v>
      </c>
      <c r="P9" s="38">
        <f>IFERROR(__xludf.DUMMYFUNCTION("""COMPUTED_VALUE"""),4.666666666666667)</f>
        <v>4.666666667</v>
      </c>
      <c r="Q9" s="37"/>
      <c r="R9" s="37">
        <f>IFERROR(__xludf.DUMMYFUNCTION("""COMPUTED_VALUE"""),4.3)</f>
        <v>4.3</v>
      </c>
      <c r="S9" s="37">
        <f>IFERROR(__xludf.DUMMYFUNCTION("""COMPUTED_VALUE"""),5.0)</f>
        <v>5</v>
      </c>
      <c r="T9" s="37">
        <f>IFERROR(__xludf.DUMMYFUNCTION("""COMPUTED_VALUE"""),4.7)</f>
        <v>4.7</v>
      </c>
      <c r="U9" s="37"/>
      <c r="V9" s="37">
        <f>IFERROR(__xludf.DUMMYFUNCTION("""COMPUTED_VALUE"""),1.9)</f>
        <v>1.9</v>
      </c>
      <c r="W9" s="37">
        <f>IFERROR(__xludf.DUMMYFUNCTION("""COMPUTED_VALUE"""),2.55)</f>
        <v>2.55</v>
      </c>
      <c r="X9" s="37" t="str">
        <f>IFERROR(__xludf.DUMMYFUNCTION("""COMPUTED_VALUE"""),"U00192226")</f>
        <v>U00192226</v>
      </c>
      <c r="Y9" s="37"/>
      <c r="Z9" s="1"/>
      <c r="AA9" s="1"/>
    </row>
    <row r="10">
      <c r="A10" s="25">
        <v>9.0</v>
      </c>
      <c r="B10" s="28" t="s">
        <v>27</v>
      </c>
      <c r="C10" s="31">
        <f>IFERROR(__xludf.DUMMYFUNCTION("""COMPUTED_VALUE"""),2.2)</f>
        <v>2.2</v>
      </c>
      <c r="D10" s="32">
        <f>IFERROR(__xludf.DUMMYFUNCTION("""COMPUTED_VALUE"""),4.1)</f>
        <v>4.1</v>
      </c>
      <c r="E10" s="14">
        <f>IFERROR(__xludf.DUMMYFUNCTION("""COMPUTED_VALUE"""),4.4)</f>
        <v>4.4</v>
      </c>
      <c r="F10" s="33">
        <f>IFERROR(__xludf.DUMMYFUNCTION("""COMPUTED_VALUE"""),4.8)</f>
        <v>4.8</v>
      </c>
      <c r="G10" s="35">
        <f>IFERROR(__xludf.DUMMYFUNCTION("""COMPUTED_VALUE"""),3.7)</f>
        <v>3.7</v>
      </c>
      <c r="H10" s="1">
        <f>IFERROR(__xludf.DUMMYFUNCTION("""COMPUTED_VALUE"""),4.5)</f>
        <v>4.5</v>
      </c>
      <c r="I10" s="1">
        <f>IFERROR(__xludf.DUMMYFUNCTION("""COMPUTED_VALUE"""),4.0)</f>
        <v>4</v>
      </c>
      <c r="J10" s="37">
        <f>IFERROR(__xludf.DUMMYFUNCTION("""COMPUTED_VALUE"""),0.0)</f>
        <v>0</v>
      </c>
      <c r="K10" s="37">
        <f>IFERROR(__xludf.DUMMYFUNCTION("""COMPUTED_VALUE"""),4.7)</f>
        <v>4.7</v>
      </c>
      <c r="L10" s="37">
        <f>IFERROR(__xludf.DUMMYFUNCTION("""COMPUTED_VALUE"""),4.5)</f>
        <v>4.5</v>
      </c>
      <c r="M10" s="37">
        <f>IFERROR(__xludf.DUMMYFUNCTION("""COMPUTED_VALUE"""),4.2)</f>
        <v>4.2</v>
      </c>
      <c r="N10" s="32">
        <f>IFERROR(__xludf.DUMMYFUNCTION("""COMPUTED_VALUE"""),2.5)</f>
        <v>2.5</v>
      </c>
      <c r="O10" s="32">
        <f>IFERROR(__xludf.DUMMYFUNCTION("""COMPUTED_VALUE"""),0.0)</f>
        <v>0</v>
      </c>
      <c r="P10" s="38">
        <f>IFERROR(__xludf.DUMMYFUNCTION("""COMPUTED_VALUE"""),4.8)</f>
        <v>4.8</v>
      </c>
      <c r="Q10" s="37"/>
      <c r="R10" s="37">
        <f>IFERROR(__xludf.DUMMYFUNCTION("""COMPUTED_VALUE"""),4.9)</f>
        <v>4.9</v>
      </c>
      <c r="S10" s="37">
        <f>IFERROR(__xludf.DUMMYFUNCTION("""COMPUTED_VALUE"""),4.8)</f>
        <v>4.8</v>
      </c>
      <c r="T10" s="37">
        <f>IFERROR(__xludf.DUMMYFUNCTION("""COMPUTED_VALUE"""),4.7)</f>
        <v>4.7</v>
      </c>
      <c r="U10" s="37"/>
      <c r="V10" s="37">
        <f>IFERROR(__xludf.DUMMYFUNCTION("""COMPUTED_VALUE"""),1.7)</f>
        <v>1.7</v>
      </c>
      <c r="W10" s="37">
        <f>IFERROR(__xludf.DUMMYFUNCTION("""COMPUTED_VALUE"""),2.7)</f>
        <v>2.7</v>
      </c>
      <c r="X10" s="37" t="str">
        <f>IFERROR(__xludf.DUMMYFUNCTION("""COMPUTED_VALUE"""),"U00193096")</f>
        <v>U00193096</v>
      </c>
      <c r="Y10" s="37"/>
      <c r="Z10" s="1"/>
      <c r="AA10" s="1"/>
    </row>
    <row r="11">
      <c r="A11" s="25">
        <v>10.0</v>
      </c>
      <c r="B11" s="28" t="s">
        <v>31</v>
      </c>
      <c r="C11" s="31">
        <f>IFERROR(__xludf.DUMMYFUNCTION("""COMPUTED_VALUE"""),3.6)</f>
        <v>3.6</v>
      </c>
      <c r="D11" s="32">
        <f>IFERROR(__xludf.DUMMYFUNCTION("""COMPUTED_VALUE"""),4.1)</f>
        <v>4.1</v>
      </c>
      <c r="E11" s="14">
        <f>IFERROR(__xludf.DUMMYFUNCTION("""COMPUTED_VALUE"""),5.0)</f>
        <v>5</v>
      </c>
      <c r="F11" s="33">
        <f>IFERROR(__xludf.DUMMYFUNCTION("""COMPUTED_VALUE"""),5.0)</f>
        <v>5</v>
      </c>
      <c r="G11" s="35">
        <f>IFERROR(__xludf.DUMMYFUNCTION("""COMPUTED_VALUE"""),4.3)</f>
        <v>4.3</v>
      </c>
      <c r="H11" s="1">
        <f>IFERROR(__xludf.DUMMYFUNCTION("""COMPUTED_VALUE"""),5.0)</f>
        <v>5</v>
      </c>
      <c r="I11" s="1">
        <f>IFERROR(__xludf.DUMMYFUNCTION("""COMPUTED_VALUE"""),4.9)</f>
        <v>4.9</v>
      </c>
      <c r="J11" s="37">
        <f>IFERROR(__xludf.DUMMYFUNCTION("""COMPUTED_VALUE"""),5.0)</f>
        <v>5</v>
      </c>
      <c r="K11" s="37">
        <f>IFERROR(__xludf.DUMMYFUNCTION("""COMPUTED_VALUE"""),5.0)</f>
        <v>5</v>
      </c>
      <c r="L11" s="37">
        <f>IFERROR(__xludf.DUMMYFUNCTION("""COMPUTED_VALUE"""),5.0)</f>
        <v>5</v>
      </c>
      <c r="M11" s="37">
        <f>IFERROR(__xludf.DUMMYFUNCTION("""COMPUTED_VALUE"""),5.0)</f>
        <v>5</v>
      </c>
      <c r="N11" s="32">
        <f>IFERROR(__xludf.DUMMYFUNCTION("""COMPUTED_VALUE"""),4.6)</f>
        <v>4.6</v>
      </c>
      <c r="O11" s="32">
        <f>IFERROR(__xludf.DUMMYFUNCTION("""COMPUTED_VALUE"""),0.0)</f>
        <v>0</v>
      </c>
      <c r="P11" s="38">
        <f>IFERROR(__xludf.DUMMYFUNCTION("""COMPUTED_VALUE"""),4.933333333333334)</f>
        <v>4.933333333</v>
      </c>
      <c r="Q11" s="37"/>
      <c r="R11" s="37">
        <f>IFERROR(__xludf.DUMMYFUNCTION("""COMPUTED_VALUE"""),4.8)</f>
        <v>4.8</v>
      </c>
      <c r="S11" s="37">
        <f>IFERROR(__xludf.DUMMYFUNCTION("""COMPUTED_VALUE"""),5.0)</f>
        <v>5</v>
      </c>
      <c r="T11" s="37">
        <f>IFERROR(__xludf.DUMMYFUNCTION("""COMPUTED_VALUE"""),5.0)</f>
        <v>5</v>
      </c>
      <c r="U11" s="37"/>
      <c r="V11" s="37">
        <f>IFERROR(__xludf.DUMMYFUNCTION("""COMPUTED_VALUE"""),2.4)</f>
        <v>2.4</v>
      </c>
      <c r="W11" s="37">
        <f>IFERROR(__xludf.DUMMYFUNCTION("""COMPUTED_VALUE"""),3.3499999999999996)</f>
        <v>3.35</v>
      </c>
      <c r="X11" s="37" t="str">
        <f>IFERROR(__xludf.DUMMYFUNCTION("""COMPUTED_VALUE"""),"U00194346")</f>
        <v>U00194346</v>
      </c>
      <c r="Y11" s="37"/>
      <c r="Z11" s="1"/>
      <c r="AA11" s="1"/>
    </row>
    <row r="12">
      <c r="A12" s="25">
        <v>11.0</v>
      </c>
      <c r="B12" s="28" t="s">
        <v>36</v>
      </c>
      <c r="C12" s="31">
        <f>IFERROR(__xludf.DUMMYFUNCTION("""COMPUTED_VALUE"""),5.0)</f>
        <v>5</v>
      </c>
      <c r="D12" s="32">
        <f>IFERROR(__xludf.DUMMYFUNCTION("""COMPUTED_VALUE"""),5.0)</f>
        <v>5</v>
      </c>
      <c r="E12" s="14">
        <f>IFERROR(__xludf.DUMMYFUNCTION("""COMPUTED_VALUE"""),4.9)</f>
        <v>4.9</v>
      </c>
      <c r="F12" s="33">
        <f>IFERROR(__xludf.DUMMYFUNCTION("""COMPUTED_VALUE"""),5.0)</f>
        <v>5</v>
      </c>
      <c r="G12" s="35">
        <f>IFERROR(__xludf.DUMMYFUNCTION("""COMPUTED_VALUE"""),5.0)</f>
        <v>5</v>
      </c>
      <c r="H12" s="1">
        <f>IFERROR(__xludf.DUMMYFUNCTION("""COMPUTED_VALUE"""),3.8)</f>
        <v>3.8</v>
      </c>
      <c r="I12" s="1">
        <f>IFERROR(__xludf.DUMMYFUNCTION("""COMPUTED_VALUE"""),5.0)</f>
        <v>5</v>
      </c>
      <c r="J12" s="37">
        <f>IFERROR(__xludf.DUMMYFUNCTION("""COMPUTED_VALUE"""),4.8)</f>
        <v>4.8</v>
      </c>
      <c r="K12" s="37">
        <f>IFERROR(__xludf.DUMMYFUNCTION("""COMPUTED_VALUE"""),4.8)</f>
        <v>4.8</v>
      </c>
      <c r="L12" s="37">
        <f>IFERROR(__xludf.DUMMYFUNCTION("""COMPUTED_VALUE"""),5.0)</f>
        <v>5</v>
      </c>
      <c r="M12" s="37">
        <f>IFERROR(__xludf.DUMMYFUNCTION("""COMPUTED_VALUE"""),5.0)</f>
        <v>5</v>
      </c>
      <c r="N12" s="32">
        <f>IFERROR(__xludf.DUMMYFUNCTION("""COMPUTED_VALUE"""),5.0)</f>
        <v>5</v>
      </c>
      <c r="O12" s="32">
        <f>IFERROR(__xludf.DUMMYFUNCTION("""COMPUTED_VALUE"""),0.0)</f>
        <v>0</v>
      </c>
      <c r="P12" s="38">
        <f>IFERROR(__xludf.DUMMYFUNCTION("""COMPUTED_VALUE"""),4.966666666666667)</f>
        <v>4.966666667</v>
      </c>
      <c r="Q12" s="37"/>
      <c r="R12" s="37">
        <f>IFERROR(__xludf.DUMMYFUNCTION("""COMPUTED_VALUE"""),5.0)</f>
        <v>5</v>
      </c>
      <c r="S12" s="37">
        <f>IFERROR(__xludf.DUMMYFUNCTION("""COMPUTED_VALUE"""),5.0)</f>
        <v>5</v>
      </c>
      <c r="T12" s="37">
        <f>IFERROR(__xludf.DUMMYFUNCTION("""COMPUTED_VALUE"""),4.9)</f>
        <v>4.9</v>
      </c>
      <c r="U12" s="37"/>
      <c r="V12" s="37">
        <f>IFERROR(__xludf.DUMMYFUNCTION("""COMPUTED_VALUE"""),2.5)</f>
        <v>2.5</v>
      </c>
      <c r="W12" s="37">
        <f>IFERROR(__xludf.DUMMYFUNCTION("""COMPUTED_VALUE"""),3.75)</f>
        <v>3.75</v>
      </c>
      <c r="X12" s="37" t="str">
        <f>IFERROR(__xludf.DUMMYFUNCTION("""COMPUTED_VALUE"""),"U00192285")</f>
        <v>U00192285</v>
      </c>
      <c r="Y12" s="37"/>
      <c r="Z12" s="1"/>
      <c r="AA12" s="1"/>
    </row>
    <row r="13">
      <c r="A13" s="25">
        <v>12.0</v>
      </c>
      <c r="B13" s="28" t="s">
        <v>39</v>
      </c>
      <c r="C13" s="31">
        <f>IFERROR(__xludf.DUMMYFUNCTION("""COMPUTED_VALUE"""),4.9)</f>
        <v>4.9</v>
      </c>
      <c r="D13" s="32">
        <f>IFERROR(__xludf.DUMMYFUNCTION("""COMPUTED_VALUE"""),4.9)</f>
        <v>4.9</v>
      </c>
      <c r="E13" s="14">
        <f>IFERROR(__xludf.DUMMYFUNCTION("""COMPUTED_VALUE"""),4.9)</f>
        <v>4.9</v>
      </c>
      <c r="F13" s="33">
        <f>IFERROR(__xludf.DUMMYFUNCTION("""COMPUTED_VALUE"""),5.0)</f>
        <v>5</v>
      </c>
      <c r="G13" s="35">
        <f>IFERROR(__xludf.DUMMYFUNCTION("""COMPUTED_VALUE"""),4.9)</f>
        <v>4.9</v>
      </c>
      <c r="H13" s="1">
        <f>IFERROR(__xludf.DUMMYFUNCTION("""COMPUTED_VALUE"""),4.8)</f>
        <v>4.8</v>
      </c>
      <c r="I13" s="1">
        <f>IFERROR(__xludf.DUMMYFUNCTION("""COMPUTED_VALUE"""),4.4)</f>
        <v>4.4</v>
      </c>
      <c r="J13" s="37">
        <f>IFERROR(__xludf.DUMMYFUNCTION("""COMPUTED_VALUE"""),5.0)</f>
        <v>5</v>
      </c>
      <c r="K13" s="37">
        <f>IFERROR(__xludf.DUMMYFUNCTION("""COMPUTED_VALUE"""),5.0)</f>
        <v>5</v>
      </c>
      <c r="L13" s="37">
        <f>IFERROR(__xludf.DUMMYFUNCTION("""COMPUTED_VALUE"""),5.0)</f>
        <v>5</v>
      </c>
      <c r="M13" s="37">
        <f>IFERROR(__xludf.DUMMYFUNCTION("""COMPUTED_VALUE"""),4.8)</f>
        <v>4.8</v>
      </c>
      <c r="N13" s="32">
        <f>IFERROR(__xludf.DUMMYFUNCTION("""COMPUTED_VALUE"""),4.0)</f>
        <v>4</v>
      </c>
      <c r="O13" s="32">
        <f>IFERROR(__xludf.DUMMYFUNCTION("""COMPUTED_VALUE"""),0.0)</f>
        <v>0</v>
      </c>
      <c r="P13" s="38">
        <f>IFERROR(__xludf.DUMMYFUNCTION("""COMPUTED_VALUE"""),3.266666666666667)</f>
        <v>3.266666667</v>
      </c>
      <c r="Q13" s="37"/>
      <c r="R13" s="37">
        <f>IFERROR(__xludf.DUMMYFUNCTION("""COMPUTED_VALUE"""),5.0)</f>
        <v>5</v>
      </c>
      <c r="S13" s="37">
        <f>IFERROR(__xludf.DUMMYFUNCTION("""COMPUTED_VALUE"""),0.0)</f>
        <v>0</v>
      </c>
      <c r="T13" s="37">
        <f>IFERROR(__xludf.DUMMYFUNCTION("""COMPUTED_VALUE"""),4.8)</f>
        <v>4.8</v>
      </c>
      <c r="U13" s="37"/>
      <c r="V13" s="37">
        <f>IFERROR(__xludf.DUMMYFUNCTION("""COMPUTED_VALUE"""),1.9)</f>
        <v>1.9</v>
      </c>
      <c r="W13" s="37">
        <f>IFERROR(__xludf.DUMMYFUNCTION("""COMPUTED_VALUE"""),3.4000000000000004)</f>
        <v>3.4</v>
      </c>
      <c r="X13" s="37" t="str">
        <f>IFERROR(__xludf.DUMMYFUNCTION("""COMPUTED_VALUE"""),"U00194044")</f>
        <v>U00194044</v>
      </c>
      <c r="Y13" s="37"/>
      <c r="Z13" s="1"/>
      <c r="AA13" s="1"/>
    </row>
    <row r="14">
      <c r="A14" s="25">
        <v>13.0</v>
      </c>
      <c r="B14" s="28" t="s">
        <v>43</v>
      </c>
      <c r="C14" s="31">
        <f>IFERROR(__xludf.DUMMYFUNCTION("""COMPUTED_VALUE"""),4.2)</f>
        <v>4.2</v>
      </c>
      <c r="D14" s="32">
        <f>IFERROR(__xludf.DUMMYFUNCTION("""COMPUTED_VALUE"""),4.4)</f>
        <v>4.4</v>
      </c>
      <c r="E14" s="14">
        <f>IFERROR(__xludf.DUMMYFUNCTION("""COMPUTED_VALUE"""),5.0)</f>
        <v>5</v>
      </c>
      <c r="F14" s="33">
        <f>IFERROR(__xludf.DUMMYFUNCTION("""COMPUTED_VALUE"""),5.0)</f>
        <v>5</v>
      </c>
      <c r="G14" s="35">
        <f>IFERROR(__xludf.DUMMYFUNCTION("""COMPUTED_VALUE"""),4.6)</f>
        <v>4.6</v>
      </c>
      <c r="H14" s="1">
        <f>IFERROR(__xludf.DUMMYFUNCTION("""COMPUTED_VALUE"""),3.5)</f>
        <v>3.5</v>
      </c>
      <c r="I14" s="1">
        <f>IFERROR(__xludf.DUMMYFUNCTION("""COMPUTED_VALUE"""),4.9)</f>
        <v>4.9</v>
      </c>
      <c r="J14" s="37">
        <f>IFERROR(__xludf.DUMMYFUNCTION("""COMPUTED_VALUE"""),5.0)</f>
        <v>5</v>
      </c>
      <c r="K14" s="37">
        <f>IFERROR(__xludf.DUMMYFUNCTION("""COMPUTED_VALUE"""),4.9)</f>
        <v>4.9</v>
      </c>
      <c r="L14" s="37">
        <f>IFERROR(__xludf.DUMMYFUNCTION("""COMPUTED_VALUE"""),5.0)</f>
        <v>5</v>
      </c>
      <c r="M14" s="37">
        <f>IFERROR(__xludf.DUMMYFUNCTION("""COMPUTED_VALUE"""),5.0)</f>
        <v>5</v>
      </c>
      <c r="N14" s="32">
        <f>IFERROR(__xludf.DUMMYFUNCTION("""COMPUTED_VALUE"""),4.7)</f>
        <v>4.7</v>
      </c>
      <c r="O14" s="32">
        <f>IFERROR(__xludf.DUMMYFUNCTION("""COMPUTED_VALUE"""),0.0)</f>
        <v>0</v>
      </c>
      <c r="P14" s="38">
        <f>IFERROR(__xludf.DUMMYFUNCTION("""COMPUTED_VALUE"""),4.733333333333333)</f>
        <v>4.733333333</v>
      </c>
      <c r="Q14" s="37"/>
      <c r="R14" s="37">
        <f>IFERROR(__xludf.DUMMYFUNCTION("""COMPUTED_VALUE"""),4.3)</f>
        <v>4.3</v>
      </c>
      <c r="S14" s="37">
        <f>IFERROR(__xludf.DUMMYFUNCTION("""COMPUTED_VALUE"""),5.0)</f>
        <v>5</v>
      </c>
      <c r="T14" s="37">
        <f>IFERROR(__xludf.DUMMYFUNCTION("""COMPUTED_VALUE"""),4.9)</f>
        <v>4.9</v>
      </c>
      <c r="U14" s="37"/>
      <c r="V14" s="37">
        <f>IFERROR(__xludf.DUMMYFUNCTION("""COMPUTED_VALUE"""),2.4)</f>
        <v>2.4</v>
      </c>
      <c r="W14" s="37">
        <f>IFERROR(__xludf.DUMMYFUNCTION("""COMPUTED_VALUE"""),3.5)</f>
        <v>3.5</v>
      </c>
      <c r="X14" s="37" t="str">
        <f>IFERROR(__xludf.DUMMYFUNCTION("""COMPUTED_VALUE"""),"U00192990")</f>
        <v>U00192990</v>
      </c>
      <c r="Y14" s="37"/>
      <c r="Z14" s="1"/>
      <c r="AA14" s="1"/>
    </row>
    <row r="15">
      <c r="A15" s="25">
        <v>14.0</v>
      </c>
      <c r="B15" s="28" t="s">
        <v>47</v>
      </c>
      <c r="C15" s="31">
        <f>IFERROR(__xludf.DUMMYFUNCTION("""COMPUTED_VALUE"""),0.5)</f>
        <v>0.5</v>
      </c>
      <c r="D15" s="32">
        <f>IFERROR(__xludf.DUMMYFUNCTION("""COMPUTED_VALUE"""),0.0)</f>
        <v>0</v>
      </c>
      <c r="E15" s="14">
        <f>IFERROR(__xludf.DUMMYFUNCTION("""COMPUTED_VALUE"""),1.9)</f>
        <v>1.9</v>
      </c>
      <c r="F15" s="33">
        <f>IFERROR(__xludf.DUMMYFUNCTION("""COMPUTED_VALUE"""),0.0)</f>
        <v>0</v>
      </c>
      <c r="G15" s="35">
        <f>IFERROR(__xludf.DUMMYFUNCTION("""COMPUTED_VALUE"""),0.5)</f>
        <v>0.5</v>
      </c>
      <c r="H15" s="1">
        <f>IFERROR(__xludf.DUMMYFUNCTION("""COMPUTED_VALUE"""),4.8)</f>
        <v>4.8</v>
      </c>
      <c r="I15" s="1">
        <f>IFERROR(__xludf.DUMMYFUNCTION("""COMPUTED_VALUE"""),4.8)</f>
        <v>4.8</v>
      </c>
      <c r="J15" s="37">
        <f>IFERROR(__xludf.DUMMYFUNCTION("""COMPUTED_VALUE"""),0.0)</f>
        <v>0</v>
      </c>
      <c r="K15" s="37">
        <f>IFERROR(__xludf.DUMMYFUNCTION("""COMPUTED_VALUE"""),0.0)</f>
        <v>0</v>
      </c>
      <c r="L15" s="37">
        <f>IFERROR(__xludf.DUMMYFUNCTION("""COMPUTED_VALUE"""),0.0)</f>
        <v>0</v>
      </c>
      <c r="M15" s="37">
        <f>IFERROR(__xludf.DUMMYFUNCTION("""COMPUTED_VALUE"""),0.0)</f>
        <v>0</v>
      </c>
      <c r="N15" s="32"/>
      <c r="O15" s="32"/>
      <c r="P15" s="38"/>
      <c r="Q15" s="51"/>
      <c r="R15" s="37"/>
      <c r="S15" s="37"/>
      <c r="T15" s="37"/>
      <c r="U15" s="37"/>
      <c r="V15" s="37"/>
      <c r="W15" s="37"/>
      <c r="X15" s="37" t="str">
        <f>IFERROR(__xludf.DUMMYFUNCTION("""COMPUTED_VALUE"""),"U00194570")</f>
        <v>U00194570</v>
      </c>
      <c r="Y15" s="37"/>
      <c r="Z15" s="1"/>
      <c r="AA15" s="1"/>
    </row>
    <row r="16">
      <c r="A16" s="25">
        <v>15.0</v>
      </c>
      <c r="B16" s="28" t="s">
        <v>48</v>
      </c>
      <c r="C16" s="31">
        <f>IFERROR(__xludf.DUMMYFUNCTION("""COMPUTED_VALUE"""),3.5)</f>
        <v>3.5</v>
      </c>
      <c r="D16" s="32">
        <f>IFERROR(__xludf.DUMMYFUNCTION("""COMPUTED_VALUE"""),2.6)</f>
        <v>2.6</v>
      </c>
      <c r="E16" s="14">
        <f>IFERROR(__xludf.DUMMYFUNCTION("""COMPUTED_VALUE"""),4.8)</f>
        <v>4.8</v>
      </c>
      <c r="F16" s="33">
        <f>IFERROR(__xludf.DUMMYFUNCTION("""COMPUTED_VALUE"""),5.0)</f>
        <v>5</v>
      </c>
      <c r="G16" s="35">
        <f>IFERROR(__xludf.DUMMYFUNCTION("""COMPUTED_VALUE"""),3.8)</f>
        <v>3.8</v>
      </c>
      <c r="H16" s="1">
        <f>IFERROR(__xludf.DUMMYFUNCTION("""COMPUTED_VALUE"""),3.4)</f>
        <v>3.4</v>
      </c>
      <c r="I16" s="1">
        <f>IFERROR(__xludf.DUMMYFUNCTION("""COMPUTED_VALUE"""),4.8)</f>
        <v>4.8</v>
      </c>
      <c r="J16" s="37">
        <f>IFERROR(__xludf.DUMMYFUNCTION("""COMPUTED_VALUE"""),4.6)</f>
        <v>4.6</v>
      </c>
      <c r="K16" s="37">
        <f>IFERROR(__xludf.DUMMYFUNCTION("""COMPUTED_VALUE"""),4.9)</f>
        <v>4.9</v>
      </c>
      <c r="L16" s="37">
        <f>IFERROR(__xludf.DUMMYFUNCTION("""COMPUTED_VALUE"""),5.0)</f>
        <v>5</v>
      </c>
      <c r="M16" s="37">
        <f>IFERROR(__xludf.DUMMYFUNCTION("""COMPUTED_VALUE"""),4.5)</f>
        <v>4.5</v>
      </c>
      <c r="N16" s="32">
        <f>IFERROR(__xludf.DUMMYFUNCTION("""COMPUTED_VALUE"""),3.5)</f>
        <v>3.5</v>
      </c>
      <c r="O16" s="32">
        <f>IFERROR(__xludf.DUMMYFUNCTION("""COMPUTED_VALUE"""),0.0)</f>
        <v>0</v>
      </c>
      <c r="P16" s="38">
        <f>IFERROR(__xludf.DUMMYFUNCTION("""COMPUTED_VALUE"""),4.6000000000000005)</f>
        <v>4.6</v>
      </c>
      <c r="Q16" s="37"/>
      <c r="R16" s="37">
        <f>IFERROR(__xludf.DUMMYFUNCTION("""COMPUTED_VALUE"""),4.5)</f>
        <v>4.5</v>
      </c>
      <c r="S16" s="37">
        <f>IFERROR(__xludf.DUMMYFUNCTION("""COMPUTED_VALUE"""),4.3)</f>
        <v>4.3</v>
      </c>
      <c r="T16" s="37">
        <f>IFERROR(__xludf.DUMMYFUNCTION("""COMPUTED_VALUE"""),5.0)</f>
        <v>5</v>
      </c>
      <c r="U16" s="37"/>
      <c r="V16" s="37">
        <f>IFERROR(__xludf.DUMMYFUNCTION("""COMPUTED_VALUE"""),2.0)</f>
        <v>2</v>
      </c>
      <c r="W16" s="37">
        <f>IFERROR(__xludf.DUMMYFUNCTION("""COMPUTED_VALUE"""),2.9)</f>
        <v>2.9</v>
      </c>
      <c r="X16" s="37" t="str">
        <f>IFERROR(__xludf.DUMMYFUNCTION("""COMPUTED_VALUE"""),"U00193491")</f>
        <v>U00193491</v>
      </c>
      <c r="Y16" s="37"/>
      <c r="Z16" s="1"/>
      <c r="AA16" s="1"/>
    </row>
    <row r="17">
      <c r="A17" s="25">
        <v>16.0</v>
      </c>
      <c r="B17" s="28" t="s">
        <v>51</v>
      </c>
      <c r="C17" s="31">
        <f>IFERROR(__xludf.DUMMYFUNCTION("""COMPUTED_VALUE"""),3.4)</f>
        <v>3.4</v>
      </c>
      <c r="D17" s="32">
        <f>IFERROR(__xludf.DUMMYFUNCTION("""COMPUTED_VALUE"""),3.8)</f>
        <v>3.8</v>
      </c>
      <c r="E17" s="14">
        <f>IFERROR(__xludf.DUMMYFUNCTION("""COMPUTED_VALUE"""),4.8)</f>
        <v>4.8</v>
      </c>
      <c r="F17" s="33">
        <f>IFERROR(__xludf.DUMMYFUNCTION("""COMPUTED_VALUE"""),5.0)</f>
        <v>5</v>
      </c>
      <c r="G17" s="35">
        <f>IFERROR(__xludf.DUMMYFUNCTION("""COMPUTED_VALUE"""),4.1)</f>
        <v>4.1</v>
      </c>
      <c r="H17" s="1">
        <f>IFERROR(__xludf.DUMMYFUNCTION("""COMPUTED_VALUE"""),5.0)</f>
        <v>5</v>
      </c>
      <c r="I17" s="1">
        <f>IFERROR(__xludf.DUMMYFUNCTION("""COMPUTED_VALUE"""),5.0)</f>
        <v>5</v>
      </c>
      <c r="J17" s="37">
        <f>IFERROR(__xludf.DUMMYFUNCTION("""COMPUTED_VALUE"""),4.8)</f>
        <v>4.8</v>
      </c>
      <c r="K17" s="37">
        <f>IFERROR(__xludf.DUMMYFUNCTION("""COMPUTED_VALUE"""),5.0)</f>
        <v>5</v>
      </c>
      <c r="L17" s="37">
        <f>IFERROR(__xludf.DUMMYFUNCTION("""COMPUTED_VALUE"""),4.3)</f>
        <v>4.3</v>
      </c>
      <c r="M17" s="37">
        <f>IFERROR(__xludf.DUMMYFUNCTION("""COMPUTED_VALUE"""),4.4)</f>
        <v>4.4</v>
      </c>
      <c r="N17" s="32">
        <f>IFERROR(__xludf.DUMMYFUNCTION("""COMPUTED_VALUE"""),5.0)</f>
        <v>5</v>
      </c>
      <c r="O17" s="32">
        <f>IFERROR(__xludf.DUMMYFUNCTION("""COMPUTED_VALUE"""),0.0)</f>
        <v>0</v>
      </c>
      <c r="P17" s="38">
        <f>IFERROR(__xludf.DUMMYFUNCTION("""COMPUTED_VALUE"""),4.833333333333333)</f>
        <v>4.833333333</v>
      </c>
      <c r="Q17" s="37"/>
      <c r="R17" s="37">
        <f>IFERROR(__xludf.DUMMYFUNCTION("""COMPUTED_VALUE"""),4.8)</f>
        <v>4.8</v>
      </c>
      <c r="S17" s="37">
        <f>IFERROR(__xludf.DUMMYFUNCTION("""COMPUTED_VALUE"""),4.8)</f>
        <v>4.8</v>
      </c>
      <c r="T17" s="37">
        <f>IFERROR(__xludf.DUMMYFUNCTION("""COMPUTED_VALUE"""),4.9)</f>
        <v>4.9</v>
      </c>
      <c r="U17" s="37"/>
      <c r="V17" s="37">
        <f>IFERROR(__xludf.DUMMYFUNCTION("""COMPUTED_VALUE"""),2.5)</f>
        <v>2.5</v>
      </c>
      <c r="W17" s="37">
        <f>IFERROR(__xludf.DUMMYFUNCTION("""COMPUTED_VALUE"""),3.3)</f>
        <v>3.3</v>
      </c>
      <c r="X17" s="37" t="str">
        <f>IFERROR(__xludf.DUMMYFUNCTION("""COMPUTED_VALUE"""),"U00194483")</f>
        <v>U00194483</v>
      </c>
      <c r="Y17" s="37"/>
      <c r="Z17" s="1"/>
      <c r="AA17" s="1"/>
    </row>
    <row r="18">
      <c r="A18" s="25">
        <v>17.0</v>
      </c>
      <c r="B18" s="28" t="s">
        <v>54</v>
      </c>
      <c r="C18" s="31">
        <f>IFERROR(__xludf.DUMMYFUNCTION("""COMPUTED_VALUE"""),3.0)</f>
        <v>3</v>
      </c>
      <c r="D18" s="32">
        <f>IFERROR(__xludf.DUMMYFUNCTION("""COMPUTED_VALUE"""),3.3)</f>
        <v>3.3</v>
      </c>
      <c r="E18" s="14">
        <f>IFERROR(__xludf.DUMMYFUNCTION("""COMPUTED_VALUE"""),4.4)</f>
        <v>4.4</v>
      </c>
      <c r="F18" s="33">
        <f>IFERROR(__xludf.DUMMYFUNCTION("""COMPUTED_VALUE"""),4.8)</f>
        <v>4.8</v>
      </c>
      <c r="G18" s="35">
        <f>IFERROR(__xludf.DUMMYFUNCTION("""COMPUTED_VALUE"""),3.7)</f>
        <v>3.7</v>
      </c>
      <c r="H18" s="1">
        <f>IFERROR(__xludf.DUMMYFUNCTION("""COMPUTED_VALUE"""),4.7)</f>
        <v>4.7</v>
      </c>
      <c r="I18" s="1">
        <f>IFERROR(__xludf.DUMMYFUNCTION("""COMPUTED_VALUE"""),4.1)</f>
        <v>4.1</v>
      </c>
      <c r="J18" s="37">
        <f>IFERROR(__xludf.DUMMYFUNCTION("""COMPUTED_VALUE"""),0.0)</f>
        <v>0</v>
      </c>
      <c r="K18" s="37">
        <f>IFERROR(__xludf.DUMMYFUNCTION("""COMPUTED_VALUE"""),4.1)</f>
        <v>4.1</v>
      </c>
      <c r="L18" s="37">
        <f>IFERROR(__xludf.DUMMYFUNCTION("""COMPUTED_VALUE"""),4.3)</f>
        <v>4.3</v>
      </c>
      <c r="M18" s="37">
        <f>IFERROR(__xludf.DUMMYFUNCTION("""COMPUTED_VALUE"""),5.0)</f>
        <v>5</v>
      </c>
      <c r="N18" s="32">
        <f>IFERROR(__xludf.DUMMYFUNCTION("""COMPUTED_VALUE"""),3.5)</f>
        <v>3.5</v>
      </c>
      <c r="O18" s="32">
        <f>IFERROR(__xludf.DUMMYFUNCTION("""COMPUTED_VALUE"""),0.0)</f>
        <v>0</v>
      </c>
      <c r="P18" s="38">
        <f>IFERROR(__xludf.DUMMYFUNCTION("""COMPUTED_VALUE"""),4.366666666666666)</f>
        <v>4.366666667</v>
      </c>
      <c r="Q18" s="37"/>
      <c r="R18" s="37">
        <f>IFERROR(__xludf.DUMMYFUNCTION("""COMPUTED_VALUE"""),4.1)</f>
        <v>4.1</v>
      </c>
      <c r="S18" s="37">
        <f>IFERROR(__xludf.DUMMYFUNCTION("""COMPUTED_VALUE"""),4.3)</f>
        <v>4.3</v>
      </c>
      <c r="T18" s="37">
        <f>IFERROR(__xludf.DUMMYFUNCTION("""COMPUTED_VALUE"""),4.7)</f>
        <v>4.7</v>
      </c>
      <c r="U18" s="37"/>
      <c r="V18" s="37">
        <f>IFERROR(__xludf.DUMMYFUNCTION("""COMPUTED_VALUE"""),1.9)</f>
        <v>1.9</v>
      </c>
      <c r="W18" s="37">
        <f>IFERROR(__xludf.DUMMYFUNCTION("""COMPUTED_VALUE"""),2.8)</f>
        <v>2.8</v>
      </c>
      <c r="X18" s="37" t="str">
        <f>IFERROR(__xludf.DUMMYFUNCTION("""COMPUTED_VALUE"""),"U00194597")</f>
        <v>U00194597</v>
      </c>
      <c r="Y18" s="37"/>
      <c r="Z18" s="1"/>
      <c r="AA18" s="1"/>
    </row>
    <row r="19">
      <c r="A19" s="25">
        <v>18.0</v>
      </c>
      <c r="B19" s="28" t="s">
        <v>56</v>
      </c>
      <c r="C19" s="31">
        <f>IFERROR(__xludf.DUMMYFUNCTION("""COMPUTED_VALUE"""),4.9)</f>
        <v>4.9</v>
      </c>
      <c r="D19" s="32">
        <f>IFERROR(__xludf.DUMMYFUNCTION("""COMPUTED_VALUE"""),3.5)</f>
        <v>3.5</v>
      </c>
      <c r="E19" s="14">
        <f>IFERROR(__xludf.DUMMYFUNCTION("""COMPUTED_VALUE"""),4.9)</f>
        <v>4.9</v>
      </c>
      <c r="F19" s="33">
        <f>IFERROR(__xludf.DUMMYFUNCTION("""COMPUTED_VALUE"""),5.0)</f>
        <v>5</v>
      </c>
      <c r="G19" s="35">
        <f>IFERROR(__xludf.DUMMYFUNCTION("""COMPUTED_VALUE"""),4.5)</f>
        <v>4.5</v>
      </c>
      <c r="H19" s="1">
        <f>IFERROR(__xludf.DUMMYFUNCTION("""COMPUTED_VALUE"""),4.9)</f>
        <v>4.9</v>
      </c>
      <c r="I19" s="1">
        <f>IFERROR(__xludf.DUMMYFUNCTION("""COMPUTED_VALUE"""),4.3)</f>
        <v>4.3</v>
      </c>
      <c r="J19" s="37">
        <f>IFERROR(__xludf.DUMMYFUNCTION("""COMPUTED_VALUE"""),4.8)</f>
        <v>4.8</v>
      </c>
      <c r="K19" s="37">
        <f>IFERROR(__xludf.DUMMYFUNCTION("""COMPUTED_VALUE"""),5.0)</f>
        <v>5</v>
      </c>
      <c r="L19" s="37">
        <f>IFERROR(__xludf.DUMMYFUNCTION("""COMPUTED_VALUE"""),4.8)</f>
        <v>4.8</v>
      </c>
      <c r="M19" s="37">
        <f>IFERROR(__xludf.DUMMYFUNCTION("""COMPUTED_VALUE"""),5.0)</f>
        <v>5</v>
      </c>
      <c r="N19" s="32">
        <f>IFERROR(__xludf.DUMMYFUNCTION("""COMPUTED_VALUE"""),4.6)</f>
        <v>4.6</v>
      </c>
      <c r="O19" s="32">
        <f>IFERROR(__xludf.DUMMYFUNCTION("""COMPUTED_VALUE"""),0.0)</f>
        <v>0</v>
      </c>
      <c r="P19" s="38">
        <f>IFERROR(__xludf.DUMMYFUNCTION("""COMPUTED_VALUE"""),4.833333333333333)</f>
        <v>4.833333333</v>
      </c>
      <c r="Q19" s="37"/>
      <c r="R19" s="37">
        <f>IFERROR(__xludf.DUMMYFUNCTION("""COMPUTED_VALUE"""),5.0)</f>
        <v>5</v>
      </c>
      <c r="S19" s="37">
        <f>IFERROR(__xludf.DUMMYFUNCTION("""COMPUTED_VALUE"""),4.8)</f>
        <v>4.8</v>
      </c>
      <c r="T19" s="37">
        <f>IFERROR(__xludf.DUMMYFUNCTION("""COMPUTED_VALUE"""),4.7)</f>
        <v>4.7</v>
      </c>
      <c r="U19" s="37"/>
      <c r="V19" s="37">
        <f>IFERROR(__xludf.DUMMYFUNCTION("""COMPUTED_VALUE"""),2.3)</f>
        <v>2.3</v>
      </c>
      <c r="W19" s="37">
        <f>IFERROR(__xludf.DUMMYFUNCTION("""COMPUTED_VALUE"""),3.4)</f>
        <v>3.4</v>
      </c>
      <c r="X19" s="37" t="str">
        <f>IFERROR(__xludf.DUMMYFUNCTION("""COMPUTED_VALUE"""),"U00192439")</f>
        <v>U00192439</v>
      </c>
      <c r="Y19" s="37"/>
      <c r="Z19" s="1"/>
      <c r="AA19" s="1"/>
    </row>
    <row r="20">
      <c r="A20" s="25">
        <v>19.0</v>
      </c>
      <c r="B20" s="28" t="s">
        <v>59</v>
      </c>
      <c r="C20" s="31">
        <f>IFERROR(__xludf.DUMMYFUNCTION("""COMPUTED_VALUE"""),3.4)</f>
        <v>3.4</v>
      </c>
      <c r="D20" s="32">
        <f>IFERROR(__xludf.DUMMYFUNCTION("""COMPUTED_VALUE"""),3.5)</f>
        <v>3.5</v>
      </c>
      <c r="E20" s="14">
        <f>IFERROR(__xludf.DUMMYFUNCTION("""COMPUTED_VALUE"""),3.9)</f>
        <v>3.9</v>
      </c>
      <c r="F20" s="33">
        <f>IFERROR(__xludf.DUMMYFUNCTION("""COMPUTED_VALUE"""),5.0)</f>
        <v>5</v>
      </c>
      <c r="G20" s="35">
        <f>IFERROR(__xludf.DUMMYFUNCTION("""COMPUTED_VALUE"""),3.9)</f>
        <v>3.9</v>
      </c>
      <c r="H20" s="1">
        <f>IFERROR(__xludf.DUMMYFUNCTION("""COMPUTED_VALUE"""),4.8)</f>
        <v>4.8</v>
      </c>
      <c r="I20" s="1">
        <f>IFERROR(__xludf.DUMMYFUNCTION("""COMPUTED_VALUE"""),0.0)</f>
        <v>0</v>
      </c>
      <c r="J20" s="37">
        <f>IFERROR(__xludf.DUMMYFUNCTION("""COMPUTED_VALUE"""),0.0)</f>
        <v>0</v>
      </c>
      <c r="K20" s="37">
        <f>IFERROR(__xludf.DUMMYFUNCTION("""COMPUTED_VALUE"""),5.0)</f>
        <v>5</v>
      </c>
      <c r="L20" s="37">
        <f>IFERROR(__xludf.DUMMYFUNCTION("""COMPUTED_VALUE"""),4.8)</f>
        <v>4.8</v>
      </c>
      <c r="M20" s="37">
        <f>IFERROR(__xludf.DUMMYFUNCTION("""COMPUTED_VALUE"""),5.0)</f>
        <v>5</v>
      </c>
      <c r="N20" s="32">
        <f>IFERROR(__xludf.DUMMYFUNCTION("""COMPUTED_VALUE"""),4.7)</f>
        <v>4.7</v>
      </c>
      <c r="O20" s="32">
        <f>IFERROR(__xludf.DUMMYFUNCTION("""COMPUTED_VALUE"""),0.0)</f>
        <v>0</v>
      </c>
      <c r="P20" s="38">
        <f>IFERROR(__xludf.DUMMYFUNCTION("""COMPUTED_VALUE"""),4.8999999999999995)</f>
        <v>4.9</v>
      </c>
      <c r="Q20" s="37"/>
      <c r="R20" s="37">
        <f>IFERROR(__xludf.DUMMYFUNCTION("""COMPUTED_VALUE"""),5.0)</f>
        <v>5</v>
      </c>
      <c r="S20" s="37">
        <f>IFERROR(__xludf.DUMMYFUNCTION("""COMPUTED_VALUE"""),5.0)</f>
        <v>5</v>
      </c>
      <c r="T20" s="37">
        <f>IFERROR(__xludf.DUMMYFUNCTION("""COMPUTED_VALUE"""),4.7)</f>
        <v>4.7</v>
      </c>
      <c r="U20" s="37"/>
      <c r="V20" s="37">
        <f>IFERROR(__xludf.DUMMYFUNCTION("""COMPUTED_VALUE"""),2.4)</f>
        <v>2.4</v>
      </c>
      <c r="W20" s="37">
        <f>IFERROR(__xludf.DUMMYFUNCTION("""COMPUTED_VALUE"""),3.15)</f>
        <v>3.15</v>
      </c>
      <c r="X20" s="37" t="str">
        <f>IFERROR(__xludf.DUMMYFUNCTION("""COMPUTED_VALUE"""),"U00194123")</f>
        <v>U00194123</v>
      </c>
      <c r="Y20" s="37"/>
      <c r="Z20" s="1"/>
      <c r="AA20" s="1"/>
    </row>
    <row r="21">
      <c r="A21" s="25">
        <v>20.0</v>
      </c>
      <c r="B21" s="28" t="s">
        <v>61</v>
      </c>
      <c r="C21" s="31">
        <f>IFERROR(__xludf.DUMMYFUNCTION("""COMPUTED_VALUE"""),5.0)</f>
        <v>5</v>
      </c>
      <c r="D21" s="32">
        <f>IFERROR(__xludf.DUMMYFUNCTION("""COMPUTED_VALUE"""),5.0)</f>
        <v>5</v>
      </c>
      <c r="E21" s="14">
        <f>IFERROR(__xludf.DUMMYFUNCTION("""COMPUTED_VALUE"""),4.8)</f>
        <v>4.8</v>
      </c>
      <c r="F21" s="33">
        <f>IFERROR(__xludf.DUMMYFUNCTION("""COMPUTED_VALUE"""),5.0)</f>
        <v>5</v>
      </c>
      <c r="G21" s="35">
        <f>IFERROR(__xludf.DUMMYFUNCTION("""COMPUTED_VALUE"""),5.0)</f>
        <v>5</v>
      </c>
      <c r="H21" s="1">
        <f>IFERROR(__xludf.DUMMYFUNCTION("""COMPUTED_VALUE"""),4.8)</f>
        <v>4.8</v>
      </c>
      <c r="I21" s="1">
        <f>IFERROR(__xludf.DUMMYFUNCTION("""COMPUTED_VALUE"""),4.6)</f>
        <v>4.6</v>
      </c>
      <c r="J21" s="37">
        <f>IFERROR(__xludf.DUMMYFUNCTION("""COMPUTED_VALUE"""),4.3)</f>
        <v>4.3</v>
      </c>
      <c r="K21" s="37">
        <f>IFERROR(__xludf.DUMMYFUNCTION("""COMPUTED_VALUE"""),5.0)</f>
        <v>5</v>
      </c>
      <c r="L21" s="37">
        <f>IFERROR(__xludf.DUMMYFUNCTION("""COMPUTED_VALUE"""),4.8)</f>
        <v>4.8</v>
      </c>
      <c r="M21" s="37">
        <f>IFERROR(__xludf.DUMMYFUNCTION("""COMPUTED_VALUE"""),5.0)</f>
        <v>5</v>
      </c>
      <c r="N21" s="32">
        <f>IFERROR(__xludf.DUMMYFUNCTION("""COMPUTED_VALUE"""),2.7)</f>
        <v>2.7</v>
      </c>
      <c r="O21" s="32">
        <f>IFERROR(__xludf.DUMMYFUNCTION("""COMPUTED_VALUE"""),0.0)</f>
        <v>0</v>
      </c>
      <c r="P21" s="38">
        <f>IFERROR(__xludf.DUMMYFUNCTION("""COMPUTED_VALUE"""),3.3000000000000003)</f>
        <v>3.3</v>
      </c>
      <c r="Q21" s="37"/>
      <c r="R21" s="37">
        <f>IFERROR(__xludf.DUMMYFUNCTION("""COMPUTED_VALUE"""),5.0)</f>
        <v>5</v>
      </c>
      <c r="S21" s="37">
        <f>IFERROR(__xludf.DUMMYFUNCTION("""COMPUTED_VALUE"""),4.9)</f>
        <v>4.9</v>
      </c>
      <c r="T21" s="37">
        <f>IFERROR(__xludf.DUMMYFUNCTION("""COMPUTED_VALUE"""),0.0)</f>
        <v>0</v>
      </c>
      <c r="U21" s="37"/>
      <c r="V21" s="37">
        <f>IFERROR(__xludf.DUMMYFUNCTION("""COMPUTED_VALUE"""),1.5)</f>
        <v>1.5</v>
      </c>
      <c r="W21" s="37">
        <f>IFERROR(__xludf.DUMMYFUNCTION("""COMPUTED_VALUE"""),3.25)</f>
        <v>3.25</v>
      </c>
      <c r="X21" s="37" t="str">
        <f>IFERROR(__xludf.DUMMYFUNCTION("""COMPUTED_VALUE"""),"U00175322")</f>
        <v>U00175322</v>
      </c>
      <c r="Y21" s="37"/>
      <c r="Z21" s="1"/>
      <c r="AA21" s="1"/>
    </row>
    <row r="22">
      <c r="A22" s="25">
        <v>21.0</v>
      </c>
      <c r="B22" s="28" t="s">
        <v>64</v>
      </c>
      <c r="C22" s="31">
        <f>IFERROR(__xludf.DUMMYFUNCTION("""COMPUTED_VALUE"""),3.2)</f>
        <v>3.2</v>
      </c>
      <c r="D22" s="32">
        <f>IFERROR(__xludf.DUMMYFUNCTION("""COMPUTED_VALUE"""),2.3)</f>
        <v>2.3</v>
      </c>
      <c r="E22" s="14">
        <f>IFERROR(__xludf.DUMMYFUNCTION("""COMPUTED_VALUE"""),4.6)</f>
        <v>4.6</v>
      </c>
      <c r="F22" s="33">
        <f>IFERROR(__xludf.DUMMYFUNCTION("""COMPUTED_VALUE"""),5.0)</f>
        <v>5</v>
      </c>
      <c r="G22" s="35">
        <f>IFERROR(__xludf.DUMMYFUNCTION("""COMPUTED_VALUE"""),3.6)</f>
        <v>3.6</v>
      </c>
      <c r="H22" s="1">
        <f>IFERROR(__xludf.DUMMYFUNCTION("""COMPUTED_VALUE"""),4.5)</f>
        <v>4.5</v>
      </c>
      <c r="I22" s="1">
        <f>IFERROR(__xludf.DUMMYFUNCTION("""COMPUTED_VALUE"""),5.0)</f>
        <v>5</v>
      </c>
      <c r="J22" s="37">
        <f>IFERROR(__xludf.DUMMYFUNCTION("""COMPUTED_VALUE"""),4.5)</f>
        <v>4.5</v>
      </c>
      <c r="K22" s="37">
        <f>IFERROR(__xludf.DUMMYFUNCTION("""COMPUTED_VALUE"""),4.6)</f>
        <v>4.6</v>
      </c>
      <c r="L22" s="37">
        <f>IFERROR(__xludf.DUMMYFUNCTION("""COMPUTED_VALUE"""),4.6)</f>
        <v>4.6</v>
      </c>
      <c r="M22" s="37">
        <f>IFERROR(__xludf.DUMMYFUNCTION("""COMPUTED_VALUE"""),4.3)</f>
        <v>4.3</v>
      </c>
      <c r="N22" s="32">
        <f>IFERROR(__xludf.DUMMYFUNCTION("""COMPUTED_VALUE"""),4.5)</f>
        <v>4.5</v>
      </c>
      <c r="O22" s="32">
        <f>IFERROR(__xludf.DUMMYFUNCTION("""COMPUTED_VALUE"""),0.0)</f>
        <v>0</v>
      </c>
      <c r="P22" s="38">
        <f>IFERROR(__xludf.DUMMYFUNCTION("""COMPUTED_VALUE"""),3.1999999999999997)</f>
        <v>3.2</v>
      </c>
      <c r="Q22" s="37"/>
      <c r="R22" s="37">
        <f>IFERROR(__xludf.DUMMYFUNCTION("""COMPUTED_VALUE"""),4.8)</f>
        <v>4.8</v>
      </c>
      <c r="S22" s="37">
        <f>IFERROR(__xludf.DUMMYFUNCTION("""COMPUTED_VALUE"""),0.0)</f>
        <v>0</v>
      </c>
      <c r="T22" s="37">
        <f>IFERROR(__xludf.DUMMYFUNCTION("""COMPUTED_VALUE"""),4.8)</f>
        <v>4.8</v>
      </c>
      <c r="U22" s="37"/>
      <c r="V22" s="37">
        <f>IFERROR(__xludf.DUMMYFUNCTION("""COMPUTED_VALUE"""),2.0)</f>
        <v>2</v>
      </c>
      <c r="W22" s="37">
        <f>IFERROR(__xludf.DUMMYFUNCTION("""COMPUTED_VALUE"""),2.8)</f>
        <v>2.8</v>
      </c>
      <c r="X22" s="37" t="str">
        <f>IFERROR(__xludf.DUMMYFUNCTION("""COMPUTED_VALUE"""),"U00194380")</f>
        <v>U00194380</v>
      </c>
      <c r="Y22" s="37"/>
      <c r="Z22" s="1"/>
      <c r="AA22" s="1"/>
    </row>
    <row r="23">
      <c r="A23" s="25">
        <v>22.0</v>
      </c>
      <c r="B23" s="28" t="s">
        <v>67</v>
      </c>
      <c r="C23" s="31">
        <f>IFERROR(__xludf.DUMMYFUNCTION("""COMPUTED_VALUE"""),4.4)</f>
        <v>4.4</v>
      </c>
      <c r="D23" s="32">
        <f>IFERROR(__xludf.DUMMYFUNCTION("""COMPUTED_VALUE"""),1.8)</f>
        <v>1.8</v>
      </c>
      <c r="E23" s="14">
        <f>IFERROR(__xludf.DUMMYFUNCTION("""COMPUTED_VALUE"""),4.8)</f>
        <v>4.8</v>
      </c>
      <c r="F23" s="33">
        <f>IFERROR(__xludf.DUMMYFUNCTION("""COMPUTED_VALUE"""),5.0)</f>
        <v>5</v>
      </c>
      <c r="G23" s="35">
        <f>IFERROR(__xludf.DUMMYFUNCTION("""COMPUTED_VALUE"""),3.8)</f>
        <v>3.8</v>
      </c>
      <c r="H23" s="1">
        <f>IFERROR(__xludf.DUMMYFUNCTION("""COMPUTED_VALUE"""),4.8)</f>
        <v>4.8</v>
      </c>
      <c r="I23" s="1">
        <f>IFERROR(__xludf.DUMMYFUNCTION("""COMPUTED_VALUE"""),5.0)</f>
        <v>5</v>
      </c>
      <c r="J23" s="37">
        <f>IFERROR(__xludf.DUMMYFUNCTION("""COMPUTED_VALUE"""),4.6)</f>
        <v>4.6</v>
      </c>
      <c r="K23" s="37">
        <f>IFERROR(__xludf.DUMMYFUNCTION("""COMPUTED_VALUE"""),4.5)</f>
        <v>4.5</v>
      </c>
      <c r="L23" s="37">
        <f>IFERROR(__xludf.DUMMYFUNCTION("""COMPUTED_VALUE"""),4.8)</f>
        <v>4.8</v>
      </c>
      <c r="M23" s="37">
        <f>IFERROR(__xludf.DUMMYFUNCTION("""COMPUTED_VALUE"""),4.8)</f>
        <v>4.8</v>
      </c>
      <c r="N23" s="32">
        <f>IFERROR(__xludf.DUMMYFUNCTION("""COMPUTED_VALUE"""),4.0)</f>
        <v>4</v>
      </c>
      <c r="O23" s="32">
        <f>IFERROR(__xludf.DUMMYFUNCTION("""COMPUTED_VALUE"""),0.0)</f>
        <v>0</v>
      </c>
      <c r="P23" s="38">
        <f>IFERROR(__xludf.DUMMYFUNCTION("""COMPUTED_VALUE"""),4.833333333333333)</f>
        <v>4.833333333</v>
      </c>
      <c r="Q23" s="37"/>
      <c r="R23" s="37">
        <f>IFERROR(__xludf.DUMMYFUNCTION("""COMPUTED_VALUE"""),5.0)</f>
        <v>5</v>
      </c>
      <c r="S23" s="37">
        <f>IFERROR(__xludf.DUMMYFUNCTION("""COMPUTED_VALUE"""),4.8)</f>
        <v>4.8</v>
      </c>
      <c r="T23" s="37">
        <f>IFERROR(__xludf.DUMMYFUNCTION("""COMPUTED_VALUE"""),4.7)</f>
        <v>4.7</v>
      </c>
      <c r="U23" s="37"/>
      <c r="V23" s="37">
        <f>IFERROR(__xludf.DUMMYFUNCTION("""COMPUTED_VALUE"""),2.2)</f>
        <v>2.2</v>
      </c>
      <c r="W23" s="37">
        <f>IFERROR(__xludf.DUMMYFUNCTION("""COMPUTED_VALUE"""),3.0)</f>
        <v>3</v>
      </c>
      <c r="X23" s="37" t="str">
        <f>IFERROR(__xludf.DUMMYFUNCTION("""COMPUTED_VALUE"""),"U00193013")</f>
        <v>U00193013</v>
      </c>
      <c r="Y23" s="37"/>
      <c r="Z23" s="1"/>
      <c r="AA23" s="1"/>
    </row>
    <row r="24">
      <c r="A24" s="1"/>
      <c r="B24" s="52"/>
      <c r="C24" s="1"/>
      <c r="D24" s="37"/>
      <c r="E24" s="53"/>
      <c r="F24" s="37"/>
      <c r="G24" s="1"/>
      <c r="H24" s="1"/>
      <c r="I24" s="1"/>
      <c r="J24" s="37"/>
      <c r="K24" s="37"/>
      <c r="L24" s="37"/>
      <c r="M24" s="37"/>
      <c r="N24" s="37"/>
      <c r="O24" s="37"/>
      <c r="P24" s="51"/>
      <c r="Q24" s="37"/>
      <c r="R24" s="37"/>
      <c r="S24" s="37"/>
      <c r="T24" s="37"/>
      <c r="U24" s="37"/>
      <c r="V24" s="37"/>
      <c r="W24" s="37"/>
      <c r="X24" s="37"/>
      <c r="Y24" s="37"/>
      <c r="Z24" s="1"/>
      <c r="AA24" s="1"/>
    </row>
    <row r="25"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</row>
  </sheetData>
  <conditionalFormatting sqref="G2:G23">
    <cfRule type="cellIs" dxfId="0" priority="1" operator="greaterThanOrEqual">
      <formula>3</formula>
    </cfRule>
  </conditionalFormatting>
  <conditionalFormatting sqref="G2:G23">
    <cfRule type="cellIs" dxfId="3" priority="2" operator="between">
      <formula>2</formula>
      <formula>2.999</formula>
    </cfRule>
  </conditionalFormatting>
  <conditionalFormatting sqref="G2:G23">
    <cfRule type="cellIs" dxfId="2" priority="3" operator="lessThanOrEqual">
      <formula>2</formula>
    </cfRule>
  </conditionalFormatting>
  <conditionalFormatting sqref="V2:W23">
    <cfRule type="cellIs" dxfId="2" priority="4" operator="lessThan">
      <formula>2</formula>
    </cfRule>
  </conditionalFormatting>
  <conditionalFormatting sqref="V2:W23">
    <cfRule type="cellIs" dxfId="3" priority="5" operator="between">
      <formula>2</formula>
      <formula>2.9999</formula>
    </cfRule>
  </conditionalFormatting>
  <conditionalFormatting sqref="V2:W23">
    <cfRule type="cellIs" dxfId="0" priority="6" operator="greaterThanOrEqual">
      <formula>3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30.38"/>
    <col customWidth="1" min="3" max="23" width="5.25"/>
    <col customWidth="1" min="24" max="24" width="10.0"/>
    <col customWidth="1" min="25" max="25" width="5.25"/>
    <col customWidth="1" min="26" max="26" width="9.5"/>
    <col customWidth="1" min="27" max="27" width="6.75"/>
  </cols>
  <sheetData>
    <row r="1">
      <c r="A1" s="3" t="s">
        <v>0</v>
      </c>
      <c r="B1" s="3" t="s">
        <v>1</v>
      </c>
      <c r="C1" s="11" t="str">
        <f>IFERROR(__xludf.DUMMYFUNCTION("IMPORTRANGE(""1QvcJMsMaaauad-YqMjUGwOrUGvFFg3fViYyspGjIz6E"",""MAT2_B!C1:X25"")"),"P1")</f>
        <v>P1</v>
      </c>
      <c r="D1" s="11" t="str">
        <f>IFERROR(__xludf.DUMMYFUNCTION("""COMPUTED_VALUE"""),"P2")</f>
        <v>P2</v>
      </c>
      <c r="E1" s="14" t="str">
        <f>IFERROR(__xludf.DUMMYFUNCTION("""COMPUTED_VALUE"""),"PQT1")</f>
        <v>PQT1</v>
      </c>
      <c r="F1" s="14" t="str">
        <f>IFERROR(__xludf.DUMMYFUNCTION("""COMPUTED_VALUE"""),"PA1")</f>
        <v>PA1</v>
      </c>
      <c r="G1" s="18" t="str">
        <f>IFERROR(__xludf.DUMMYFUNCTION("""COMPUTED_VALUE"""),"1CTE")</f>
        <v>1CTE</v>
      </c>
      <c r="H1" s="11" t="str">
        <f>IFERROR(__xludf.DUMMYFUNCTION("""COMPUTED_VALUE"""),"Ta1")</f>
        <v>Ta1</v>
      </c>
      <c r="I1" s="11" t="str">
        <f>IFERROR(__xludf.DUMMYFUNCTION("""COMPUTED_VALUE"""),"Ta2")</f>
        <v>Ta2</v>
      </c>
      <c r="J1" s="11" t="str">
        <f>IFERROR(__xludf.DUMMYFUNCTION("""COMPUTED_VALUE"""),"Ta3")</f>
        <v>Ta3</v>
      </c>
      <c r="K1" s="11" t="str">
        <f>IFERROR(__xludf.DUMMYFUNCTION("""COMPUTED_VALUE"""),"Ta4")</f>
        <v>Ta4</v>
      </c>
      <c r="L1" s="11" t="str">
        <f>IFERROR(__xludf.DUMMYFUNCTION("""COMPUTED_VALUE"""),"Ta5")</f>
        <v>Ta5</v>
      </c>
      <c r="M1" s="11" t="str">
        <f>IFERROR(__xludf.DUMMYFUNCTION("""COMPUTED_VALUE"""),"Ta6")</f>
        <v>Ta6</v>
      </c>
      <c r="N1" s="23" t="str">
        <f>IFERROR(__xludf.DUMMYFUNCTION("""COMPUTED_VALUE"""),"P3")</f>
        <v>P3</v>
      </c>
      <c r="O1" s="23" t="str">
        <f>IFERROR(__xludf.DUMMYFUNCTION("""COMPUTED_VALUE"""),"P4")</f>
        <v>P4</v>
      </c>
      <c r="P1" s="27" t="str">
        <f>IFERROR(__xludf.DUMMYFUNCTION("""COMPUTED_VALUE"""),"PQT2")</f>
        <v>PQT2</v>
      </c>
      <c r="Q1" s="29" t="str">
        <f>IFERROR(__xludf.DUMMYFUNCTION("""COMPUTED_VALUE"""),"PA")</f>
        <v>PA</v>
      </c>
      <c r="R1" s="30" t="str">
        <f>IFERROR(__xludf.DUMMYFUNCTION("""COMPUTED_VALUE"""),"Ta7")</f>
        <v>Ta7</v>
      </c>
      <c r="S1" s="30" t="str">
        <f>IFERROR(__xludf.DUMMYFUNCTION("""COMPUTED_VALUE"""),"Ta8")</f>
        <v>Ta8</v>
      </c>
      <c r="T1" s="30" t="str">
        <f>IFERROR(__xludf.DUMMYFUNCTION("""COMPUTED_VALUE"""),"EXP")</f>
        <v>EXP</v>
      </c>
      <c r="U1" s="19" t="str">
        <f>IFERROR(__xludf.DUMMYFUNCTION("""COMPUTED_VALUE"""),"Ta9")</f>
        <v>Ta9</v>
      </c>
      <c r="V1" s="11" t="str">
        <f>IFERROR(__xludf.DUMMYFUNCTION("""COMPUTED_VALUE"""),"2CTE")</f>
        <v>2CTE</v>
      </c>
      <c r="W1" s="34" t="str">
        <f>IFERROR(__xludf.DUMMYFUNCTION("""COMPUTED_VALUE"""),"FINAL")</f>
        <v>FINAL</v>
      </c>
      <c r="X1" s="11" t="str">
        <f>IFERROR(__xludf.DUMMYFUNCTION("""COMPUTED_VALUE"""),"ID")</f>
        <v>ID</v>
      </c>
      <c r="Y1" s="11"/>
      <c r="Z1" s="36"/>
      <c r="AA1" s="36"/>
    </row>
    <row r="2">
      <c r="A2" s="25">
        <v>1.0</v>
      </c>
      <c r="B2" s="28" t="s">
        <v>5</v>
      </c>
      <c r="C2" s="31">
        <f>IFERROR(__xludf.DUMMYFUNCTION("""COMPUTED_VALUE"""),4.6)</f>
        <v>4.6</v>
      </c>
      <c r="D2" s="32">
        <f>IFERROR(__xludf.DUMMYFUNCTION("""COMPUTED_VALUE"""),4.7)</f>
        <v>4.7</v>
      </c>
      <c r="E2" s="14">
        <f>IFERROR(__xludf.DUMMYFUNCTION("""COMPUTED_VALUE"""),4.8)</f>
        <v>4.8</v>
      </c>
      <c r="F2" s="33">
        <f>IFERROR(__xludf.DUMMYFUNCTION("""COMPUTED_VALUE"""),4.8)</f>
        <v>4.8</v>
      </c>
      <c r="G2" s="35">
        <f>IFERROR(__xludf.DUMMYFUNCTION("""COMPUTED_VALUE"""),4.7)</f>
        <v>4.7</v>
      </c>
      <c r="H2" s="1">
        <f>IFERROR(__xludf.DUMMYFUNCTION("""COMPUTED_VALUE"""),4.5)</f>
        <v>4.5</v>
      </c>
      <c r="I2" s="1">
        <f>IFERROR(__xludf.DUMMYFUNCTION("""COMPUTED_VALUE"""),5.0)</f>
        <v>5</v>
      </c>
      <c r="J2" s="37">
        <f>IFERROR(__xludf.DUMMYFUNCTION("""COMPUTED_VALUE"""),4.8)</f>
        <v>4.8</v>
      </c>
      <c r="K2" s="37">
        <f>IFERROR(__xludf.DUMMYFUNCTION("""COMPUTED_VALUE"""),0.0)</f>
        <v>0</v>
      </c>
      <c r="L2" s="37">
        <f>IFERROR(__xludf.DUMMYFUNCTION("""COMPUTED_VALUE"""),5.0)</f>
        <v>5</v>
      </c>
      <c r="M2" s="37">
        <f>IFERROR(__xludf.DUMMYFUNCTION("""COMPUTED_VALUE"""),4.8)</f>
        <v>4.8</v>
      </c>
      <c r="N2" s="32">
        <f>IFERROR(__xludf.DUMMYFUNCTION("""COMPUTED_VALUE"""),3.7)</f>
        <v>3.7</v>
      </c>
      <c r="O2" s="32">
        <f>IFERROR(__xludf.DUMMYFUNCTION("""COMPUTED_VALUE"""),0.0)</f>
        <v>0</v>
      </c>
      <c r="P2" s="38">
        <f>IFERROR(__xludf.DUMMYFUNCTION("""COMPUTED_VALUE"""),4.566666666666666)</f>
        <v>4.566666667</v>
      </c>
      <c r="Q2" s="37"/>
      <c r="R2" s="37">
        <f>IFERROR(__xludf.DUMMYFUNCTION("""COMPUTED_VALUE"""),4.5)</f>
        <v>4.5</v>
      </c>
      <c r="S2" s="37">
        <f>IFERROR(__xludf.DUMMYFUNCTION("""COMPUTED_VALUE"""),4.4)</f>
        <v>4.4</v>
      </c>
      <c r="T2" s="37">
        <f>IFERROR(__xludf.DUMMYFUNCTION("""COMPUTED_VALUE"""),4.8)</f>
        <v>4.8</v>
      </c>
      <c r="U2" s="37"/>
      <c r="V2" s="37">
        <f>IFERROR(__xludf.DUMMYFUNCTION("""COMPUTED_VALUE"""),2.0)</f>
        <v>2</v>
      </c>
      <c r="W2" s="37">
        <f>IFERROR(__xludf.DUMMYFUNCTION("""COMPUTED_VALUE"""),3.35)</f>
        <v>3.35</v>
      </c>
      <c r="X2" s="37" t="str">
        <f>IFERROR(__xludf.DUMMYFUNCTION("""COMPUTED_VALUE"""),"U00193172")</f>
        <v>U00193172</v>
      </c>
      <c r="Y2" s="37"/>
    </row>
    <row r="3">
      <c r="A3" s="25">
        <v>2.0</v>
      </c>
      <c r="B3" s="28" t="s">
        <v>10</v>
      </c>
      <c r="C3" s="31">
        <f>IFERROR(__xludf.DUMMYFUNCTION("""COMPUTED_VALUE"""),4.2)</f>
        <v>4.2</v>
      </c>
      <c r="D3" s="32">
        <f>IFERROR(__xludf.DUMMYFUNCTION("""COMPUTED_VALUE"""),3.7)</f>
        <v>3.7</v>
      </c>
      <c r="E3" s="14">
        <f>IFERROR(__xludf.DUMMYFUNCTION("""COMPUTED_VALUE"""),3.8)</f>
        <v>3.8</v>
      </c>
      <c r="F3" s="33">
        <f>IFERROR(__xludf.DUMMYFUNCTION("""COMPUTED_VALUE"""),5.0)</f>
        <v>5</v>
      </c>
      <c r="G3" s="35">
        <f>IFERROR(__xludf.DUMMYFUNCTION("""COMPUTED_VALUE"""),4.1)</f>
        <v>4.1</v>
      </c>
      <c r="H3" s="1">
        <f>IFERROR(__xludf.DUMMYFUNCTION("""COMPUTED_VALUE"""),4.4)</f>
        <v>4.4</v>
      </c>
      <c r="I3" s="1">
        <f>IFERROR(__xludf.DUMMYFUNCTION("""COMPUTED_VALUE"""),0.0)</f>
        <v>0</v>
      </c>
      <c r="J3" s="37">
        <f>IFERROR(__xludf.DUMMYFUNCTION("""COMPUTED_VALUE"""),5.0)</f>
        <v>5</v>
      </c>
      <c r="K3" s="37">
        <f>IFERROR(__xludf.DUMMYFUNCTION("""COMPUTED_VALUE"""),4.8)</f>
        <v>4.8</v>
      </c>
      <c r="L3" s="37">
        <f>IFERROR(__xludf.DUMMYFUNCTION("""COMPUTED_VALUE"""),4.8)</f>
        <v>4.8</v>
      </c>
      <c r="M3" s="37">
        <f>IFERROR(__xludf.DUMMYFUNCTION("""COMPUTED_VALUE"""),0.0)</f>
        <v>0</v>
      </c>
      <c r="N3" s="32">
        <f>IFERROR(__xludf.DUMMYFUNCTION("""COMPUTED_VALUE"""),3.8)</f>
        <v>3.8</v>
      </c>
      <c r="O3" s="32">
        <f>IFERROR(__xludf.DUMMYFUNCTION("""COMPUTED_VALUE"""),0.0)</f>
        <v>0</v>
      </c>
      <c r="P3" s="38">
        <f>IFERROR(__xludf.DUMMYFUNCTION("""COMPUTED_VALUE"""),4.6000000000000005)</f>
        <v>4.6</v>
      </c>
      <c r="Q3" s="37"/>
      <c r="R3" s="37">
        <f>IFERROR(__xludf.DUMMYFUNCTION("""COMPUTED_VALUE"""),4.0)</f>
        <v>4</v>
      </c>
      <c r="S3" s="37">
        <f>IFERROR(__xludf.DUMMYFUNCTION("""COMPUTED_VALUE"""),5.0)</f>
        <v>5</v>
      </c>
      <c r="T3" s="37">
        <f>IFERROR(__xludf.DUMMYFUNCTION("""COMPUTED_VALUE"""),4.8)</f>
        <v>4.8</v>
      </c>
      <c r="U3" s="37"/>
      <c r="V3" s="37">
        <f>IFERROR(__xludf.DUMMYFUNCTION("""COMPUTED_VALUE"""),2.1)</f>
        <v>2.1</v>
      </c>
      <c r="W3" s="37">
        <f>IFERROR(__xludf.DUMMYFUNCTION("""COMPUTED_VALUE"""),3.0999999999999996)</f>
        <v>3.1</v>
      </c>
      <c r="X3" s="37" t="str">
        <f>IFERROR(__xludf.DUMMYFUNCTION("""COMPUTED_VALUE"""),"U00194121")</f>
        <v>U00194121</v>
      </c>
      <c r="Y3" s="37"/>
    </row>
    <row r="4">
      <c r="A4" s="25">
        <v>3.0</v>
      </c>
      <c r="B4" s="28" t="s">
        <v>14</v>
      </c>
      <c r="C4" s="31">
        <f>IFERROR(__xludf.DUMMYFUNCTION("""COMPUTED_VALUE"""),3.5)</f>
        <v>3.5</v>
      </c>
      <c r="D4" s="32">
        <f>IFERROR(__xludf.DUMMYFUNCTION("""COMPUTED_VALUE"""),3.3)</f>
        <v>3.3</v>
      </c>
      <c r="E4" s="14">
        <f>IFERROR(__xludf.DUMMYFUNCTION("""COMPUTED_VALUE"""),4.8)</f>
        <v>4.8</v>
      </c>
      <c r="F4" s="33">
        <f>IFERROR(__xludf.DUMMYFUNCTION("""COMPUTED_VALUE"""),5.0)</f>
        <v>5</v>
      </c>
      <c r="G4" s="35">
        <f>IFERROR(__xludf.DUMMYFUNCTION("""COMPUTED_VALUE"""),4.0)</f>
        <v>4</v>
      </c>
      <c r="H4" s="1">
        <f>IFERROR(__xludf.DUMMYFUNCTION("""COMPUTED_VALUE"""),4.7)</f>
        <v>4.7</v>
      </c>
      <c r="I4" s="1">
        <f>IFERROR(__xludf.DUMMYFUNCTION("""COMPUTED_VALUE"""),5.0)</f>
        <v>5</v>
      </c>
      <c r="J4" s="37">
        <f>IFERROR(__xludf.DUMMYFUNCTION("""COMPUTED_VALUE"""),4.6)</f>
        <v>4.6</v>
      </c>
      <c r="K4" s="37">
        <f>IFERROR(__xludf.DUMMYFUNCTION("""COMPUTED_VALUE"""),0.0)</f>
        <v>0</v>
      </c>
      <c r="L4" s="37">
        <f>IFERROR(__xludf.DUMMYFUNCTION("""COMPUTED_VALUE"""),5.0)</f>
        <v>5</v>
      </c>
      <c r="M4" s="37">
        <f>IFERROR(__xludf.DUMMYFUNCTION("""COMPUTED_VALUE"""),4.8)</f>
        <v>4.8</v>
      </c>
      <c r="N4" s="32">
        <f>IFERROR(__xludf.DUMMYFUNCTION("""COMPUTED_VALUE"""),4.1)</f>
        <v>4.1</v>
      </c>
      <c r="O4" s="32">
        <f>IFERROR(__xludf.DUMMYFUNCTION("""COMPUTED_VALUE"""),0.0)</f>
        <v>0</v>
      </c>
      <c r="P4" s="38">
        <f>IFERROR(__xludf.DUMMYFUNCTION("""COMPUTED_VALUE"""),4.3999999999999995)</f>
        <v>4.4</v>
      </c>
      <c r="Q4" s="37"/>
      <c r="R4" s="37">
        <f>IFERROR(__xludf.DUMMYFUNCTION("""COMPUTED_VALUE"""),3.8)</f>
        <v>3.8</v>
      </c>
      <c r="S4" s="37">
        <f>IFERROR(__xludf.DUMMYFUNCTION("""COMPUTED_VALUE"""),4.4)</f>
        <v>4.4</v>
      </c>
      <c r="T4" s="37">
        <f>IFERROR(__xludf.DUMMYFUNCTION("""COMPUTED_VALUE"""),5.0)</f>
        <v>5</v>
      </c>
      <c r="U4" s="37"/>
      <c r="V4" s="37">
        <f>IFERROR(__xludf.DUMMYFUNCTION("""COMPUTED_VALUE"""),2.1)</f>
        <v>2.1</v>
      </c>
      <c r="W4" s="37">
        <f>IFERROR(__xludf.DUMMYFUNCTION("""COMPUTED_VALUE"""),3.05)</f>
        <v>3.05</v>
      </c>
      <c r="X4" s="37" t="str">
        <f>IFERROR(__xludf.DUMMYFUNCTION("""COMPUTED_VALUE"""),"U00194482")</f>
        <v>U00194482</v>
      </c>
      <c r="Y4" s="37"/>
    </row>
    <row r="5">
      <c r="A5" s="25">
        <v>4.0</v>
      </c>
      <c r="B5" s="28" t="s">
        <v>19</v>
      </c>
      <c r="C5" s="31">
        <f>IFERROR(__xludf.DUMMYFUNCTION("""COMPUTED_VALUE"""),3.0)</f>
        <v>3</v>
      </c>
      <c r="D5" s="32">
        <f>IFERROR(__xludf.DUMMYFUNCTION("""COMPUTED_VALUE"""),3.2)</f>
        <v>3.2</v>
      </c>
      <c r="E5" s="14">
        <f>IFERROR(__xludf.DUMMYFUNCTION("""COMPUTED_VALUE"""),3.0)</f>
        <v>3</v>
      </c>
      <c r="F5" s="33">
        <f>IFERROR(__xludf.DUMMYFUNCTION("""COMPUTED_VALUE"""),5.0)</f>
        <v>5</v>
      </c>
      <c r="G5" s="35">
        <f>IFERROR(__xludf.DUMMYFUNCTION("""COMPUTED_VALUE"""),3.5)</f>
        <v>3.5</v>
      </c>
      <c r="H5" s="1">
        <f>IFERROR(__xludf.DUMMYFUNCTION("""COMPUTED_VALUE"""),0.0)</f>
        <v>0</v>
      </c>
      <c r="I5" s="1">
        <f>IFERROR(__xludf.DUMMYFUNCTION("""COMPUTED_VALUE"""),5.0)</f>
        <v>5</v>
      </c>
      <c r="J5" s="37">
        <f>IFERROR(__xludf.DUMMYFUNCTION("""COMPUTED_VALUE"""),4.8)</f>
        <v>4.8</v>
      </c>
      <c r="K5" s="37">
        <f>IFERROR(__xludf.DUMMYFUNCTION("""COMPUTED_VALUE"""),5.0)</f>
        <v>5</v>
      </c>
      <c r="L5" s="37">
        <f>IFERROR(__xludf.DUMMYFUNCTION("""COMPUTED_VALUE"""),0.0)</f>
        <v>0</v>
      </c>
      <c r="M5" s="37">
        <f>IFERROR(__xludf.DUMMYFUNCTION("""COMPUTED_VALUE"""),0.0)</f>
        <v>0</v>
      </c>
      <c r="N5" s="32">
        <f>IFERROR(__xludf.DUMMYFUNCTION("""COMPUTED_VALUE"""),5.0)</f>
        <v>5</v>
      </c>
      <c r="O5" s="32">
        <f>IFERROR(__xludf.DUMMYFUNCTION("""COMPUTED_VALUE"""),0.0)</f>
        <v>0</v>
      </c>
      <c r="P5" s="38">
        <f>IFERROR(__xludf.DUMMYFUNCTION("""COMPUTED_VALUE"""),4.6000000000000005)</f>
        <v>4.6</v>
      </c>
      <c r="Q5" s="37"/>
      <c r="R5" s="37">
        <f>IFERROR(__xludf.DUMMYFUNCTION("""COMPUTED_VALUE"""),4.5)</f>
        <v>4.5</v>
      </c>
      <c r="S5" s="37">
        <f>IFERROR(__xludf.DUMMYFUNCTION("""COMPUTED_VALUE"""),4.3)</f>
        <v>4.3</v>
      </c>
      <c r="T5" s="37">
        <f>IFERROR(__xludf.DUMMYFUNCTION("""COMPUTED_VALUE"""),5.0)</f>
        <v>5</v>
      </c>
      <c r="U5" s="37"/>
      <c r="V5" s="37">
        <f>IFERROR(__xludf.DUMMYFUNCTION("""COMPUTED_VALUE"""),2.4)</f>
        <v>2.4</v>
      </c>
      <c r="W5" s="37">
        <f>IFERROR(__xludf.DUMMYFUNCTION("""COMPUTED_VALUE"""),2.95)</f>
        <v>2.95</v>
      </c>
      <c r="X5" s="37" t="str">
        <f>IFERROR(__xludf.DUMMYFUNCTION("""COMPUTED_VALUE"""),"U00192711")</f>
        <v>U00192711</v>
      </c>
      <c r="Y5" s="37"/>
    </row>
    <row r="6">
      <c r="A6" s="25">
        <v>5.0</v>
      </c>
      <c r="B6" s="28" t="s">
        <v>22</v>
      </c>
      <c r="C6" s="31">
        <f>IFERROR(__xludf.DUMMYFUNCTION("""COMPUTED_VALUE"""),3.6)</f>
        <v>3.6</v>
      </c>
      <c r="D6" s="32">
        <f>IFERROR(__xludf.DUMMYFUNCTION("""COMPUTED_VALUE"""),2.4)</f>
        <v>2.4</v>
      </c>
      <c r="E6" s="14">
        <f>IFERROR(__xludf.DUMMYFUNCTION("""COMPUTED_VALUE"""),4.8)</f>
        <v>4.8</v>
      </c>
      <c r="F6" s="33">
        <f>IFERROR(__xludf.DUMMYFUNCTION("""COMPUTED_VALUE"""),5.0)</f>
        <v>5</v>
      </c>
      <c r="G6" s="35">
        <f>IFERROR(__xludf.DUMMYFUNCTION("""COMPUTED_VALUE"""),3.8)</f>
        <v>3.8</v>
      </c>
      <c r="H6" s="37">
        <f>IFERROR(__xludf.DUMMYFUNCTION("""COMPUTED_VALUE"""),4.3)</f>
        <v>4.3</v>
      </c>
      <c r="I6" s="37">
        <f>IFERROR(__xludf.DUMMYFUNCTION("""COMPUTED_VALUE"""),5.0)</f>
        <v>5</v>
      </c>
      <c r="J6" s="37">
        <f>IFERROR(__xludf.DUMMYFUNCTION("""COMPUTED_VALUE"""),4.3)</f>
        <v>4.3</v>
      </c>
      <c r="K6" s="37">
        <f>IFERROR(__xludf.DUMMYFUNCTION("""COMPUTED_VALUE"""),4.8)</f>
        <v>4.8</v>
      </c>
      <c r="L6" s="37">
        <f>IFERROR(__xludf.DUMMYFUNCTION("""COMPUTED_VALUE"""),5.0)</f>
        <v>5</v>
      </c>
      <c r="M6" s="37">
        <f>IFERROR(__xludf.DUMMYFUNCTION("""COMPUTED_VALUE"""),5.0)</f>
        <v>5</v>
      </c>
      <c r="N6" s="32">
        <f>IFERROR(__xludf.DUMMYFUNCTION("""COMPUTED_VALUE"""),4.1)</f>
        <v>4.1</v>
      </c>
      <c r="O6" s="32">
        <f>IFERROR(__xludf.DUMMYFUNCTION("""COMPUTED_VALUE"""),0.0)</f>
        <v>0</v>
      </c>
      <c r="P6" s="38">
        <f>IFERROR(__xludf.DUMMYFUNCTION("""COMPUTED_VALUE"""),4.8999999999999995)</f>
        <v>4.9</v>
      </c>
      <c r="Q6" s="37"/>
      <c r="R6" s="37">
        <f>IFERROR(__xludf.DUMMYFUNCTION("""COMPUTED_VALUE"""),4.9)</f>
        <v>4.9</v>
      </c>
      <c r="S6" s="37">
        <f>IFERROR(__xludf.DUMMYFUNCTION("""COMPUTED_VALUE"""),4.8)</f>
        <v>4.8</v>
      </c>
      <c r="T6" s="37">
        <f>IFERROR(__xludf.DUMMYFUNCTION("""COMPUTED_VALUE"""),5.0)</f>
        <v>5</v>
      </c>
      <c r="U6" s="37"/>
      <c r="V6" s="37">
        <f>IFERROR(__xludf.DUMMYFUNCTION("""COMPUTED_VALUE"""),2.2)</f>
        <v>2.2</v>
      </c>
      <c r="W6" s="37">
        <f>IFERROR(__xludf.DUMMYFUNCTION("""COMPUTED_VALUE"""),3.0)</f>
        <v>3</v>
      </c>
      <c r="X6" s="37" t="str">
        <f>IFERROR(__xludf.DUMMYFUNCTION("""COMPUTED_VALUE"""),"U00192945")</f>
        <v>U00192945</v>
      </c>
      <c r="Y6" s="37"/>
    </row>
    <row r="7">
      <c r="A7" s="25">
        <v>6.0</v>
      </c>
      <c r="B7" s="28" t="s">
        <v>26</v>
      </c>
      <c r="C7" s="31">
        <f>IFERROR(__xludf.DUMMYFUNCTION("""COMPUTED_VALUE"""),3.5)</f>
        <v>3.5</v>
      </c>
      <c r="D7" s="32">
        <f>IFERROR(__xludf.DUMMYFUNCTION("""COMPUTED_VALUE"""),2.9)</f>
        <v>2.9</v>
      </c>
      <c r="E7" s="14">
        <f>IFERROR(__xludf.DUMMYFUNCTION("""COMPUTED_VALUE"""),4.9)</f>
        <v>4.9</v>
      </c>
      <c r="F7" s="33">
        <f>IFERROR(__xludf.DUMMYFUNCTION("""COMPUTED_VALUE"""),5.0)</f>
        <v>5</v>
      </c>
      <c r="G7" s="35">
        <f>IFERROR(__xludf.DUMMYFUNCTION("""COMPUTED_VALUE"""),3.9)</f>
        <v>3.9</v>
      </c>
      <c r="H7" s="1">
        <f>IFERROR(__xludf.DUMMYFUNCTION("""COMPUTED_VALUE"""),5.0)</f>
        <v>5</v>
      </c>
      <c r="I7" s="1">
        <f>IFERROR(__xludf.DUMMYFUNCTION("""COMPUTED_VALUE"""),5.0)</f>
        <v>5</v>
      </c>
      <c r="J7" s="37">
        <f>IFERROR(__xludf.DUMMYFUNCTION("""COMPUTED_VALUE"""),5.0)</f>
        <v>5</v>
      </c>
      <c r="K7" s="37">
        <f>IFERROR(__xludf.DUMMYFUNCTION("""COMPUTED_VALUE"""),4.8)</f>
        <v>4.8</v>
      </c>
      <c r="L7" s="37">
        <f>IFERROR(__xludf.DUMMYFUNCTION("""COMPUTED_VALUE"""),4.0)</f>
        <v>4</v>
      </c>
      <c r="M7" s="37">
        <f>IFERROR(__xludf.DUMMYFUNCTION("""COMPUTED_VALUE"""),4.8)</f>
        <v>4.8</v>
      </c>
      <c r="N7" s="32">
        <f>IFERROR(__xludf.DUMMYFUNCTION("""COMPUTED_VALUE"""),4.2)</f>
        <v>4.2</v>
      </c>
      <c r="O7" s="32">
        <f>IFERROR(__xludf.DUMMYFUNCTION("""COMPUTED_VALUE"""),0.0)</f>
        <v>0</v>
      </c>
      <c r="P7" s="38">
        <f>IFERROR(__xludf.DUMMYFUNCTION("""COMPUTED_VALUE"""),4.966666666666667)</f>
        <v>4.966666667</v>
      </c>
      <c r="Q7" s="37"/>
      <c r="R7" s="37">
        <f>IFERROR(__xludf.DUMMYFUNCTION("""COMPUTED_VALUE"""),5.0)</f>
        <v>5</v>
      </c>
      <c r="S7" s="37">
        <f>IFERROR(__xludf.DUMMYFUNCTION("""COMPUTED_VALUE"""),4.9)</f>
        <v>4.9</v>
      </c>
      <c r="T7" s="37">
        <f>IFERROR(__xludf.DUMMYFUNCTION("""COMPUTED_VALUE"""),5.0)</f>
        <v>5</v>
      </c>
      <c r="U7" s="37"/>
      <c r="V7" s="37">
        <f>IFERROR(__xludf.DUMMYFUNCTION("""COMPUTED_VALUE"""),2.3)</f>
        <v>2.3</v>
      </c>
      <c r="W7" s="37">
        <f>IFERROR(__xludf.DUMMYFUNCTION("""COMPUTED_VALUE"""),3.0999999999999996)</f>
        <v>3.1</v>
      </c>
      <c r="X7" s="37" t="str">
        <f>IFERROR(__xludf.DUMMYFUNCTION("""COMPUTED_VALUE"""),"U00193654")</f>
        <v>U00193654</v>
      </c>
      <c r="Y7" s="37"/>
    </row>
    <row r="8">
      <c r="A8" s="25">
        <v>7.0</v>
      </c>
      <c r="B8" s="28" t="s">
        <v>30</v>
      </c>
      <c r="C8" s="31">
        <f>IFERROR(__xludf.DUMMYFUNCTION("""COMPUTED_VALUE"""),0.0)</f>
        <v>0</v>
      </c>
      <c r="D8" s="32">
        <f>IFERROR(__xludf.DUMMYFUNCTION("""COMPUTED_VALUE"""),0.0)</f>
        <v>0</v>
      </c>
      <c r="E8" s="14">
        <f>IFERROR(__xludf.DUMMYFUNCTION("""COMPUTED_VALUE"""),0.1)</f>
        <v>0.1</v>
      </c>
      <c r="F8" s="33">
        <f>IFERROR(__xludf.DUMMYFUNCTION("""COMPUTED_VALUE"""),0.0)</f>
        <v>0</v>
      </c>
      <c r="G8" s="35">
        <f>IFERROR(__xludf.DUMMYFUNCTION("""COMPUTED_VALUE"""),0.0)</f>
        <v>0</v>
      </c>
      <c r="H8" s="1">
        <f>IFERROR(__xludf.DUMMYFUNCTION("""COMPUTED_VALUE"""),0.5)</f>
        <v>0.5</v>
      </c>
      <c r="I8" s="1">
        <f>IFERROR(__xludf.DUMMYFUNCTION("""COMPUTED_VALUE"""),0.0)</f>
        <v>0</v>
      </c>
      <c r="J8" s="37">
        <f>IFERROR(__xludf.DUMMYFUNCTION("""COMPUTED_VALUE"""),0.0)</f>
        <v>0</v>
      </c>
      <c r="K8" s="37">
        <f>IFERROR(__xludf.DUMMYFUNCTION("""COMPUTED_VALUE"""),0.0)</f>
        <v>0</v>
      </c>
      <c r="L8" s="37">
        <f>IFERROR(__xludf.DUMMYFUNCTION("""COMPUTED_VALUE"""),0.0)</f>
        <v>0</v>
      </c>
      <c r="M8" s="37">
        <f>IFERROR(__xludf.DUMMYFUNCTION("""COMPUTED_VALUE"""),0.0)</f>
        <v>0</v>
      </c>
      <c r="N8" s="32"/>
      <c r="O8" s="32"/>
      <c r="P8" s="50"/>
      <c r="Q8" s="37"/>
      <c r="R8" s="37"/>
      <c r="S8" s="37"/>
      <c r="T8" s="37"/>
      <c r="U8" s="37"/>
      <c r="V8" s="37"/>
      <c r="W8" s="37"/>
      <c r="X8" s="37" t="str">
        <f>IFERROR(__xludf.DUMMYFUNCTION("""COMPUTED_VALUE"""),"U00192760")</f>
        <v>U00192760</v>
      </c>
      <c r="Y8" s="37"/>
    </row>
    <row r="9">
      <c r="A9" s="25">
        <v>8.0</v>
      </c>
      <c r="B9" s="28" t="s">
        <v>34</v>
      </c>
      <c r="C9" s="31">
        <f>IFERROR(__xludf.DUMMYFUNCTION("""COMPUTED_VALUE"""),4.4)</f>
        <v>4.4</v>
      </c>
      <c r="D9" s="32">
        <f>IFERROR(__xludf.DUMMYFUNCTION("""COMPUTED_VALUE"""),4.2)</f>
        <v>4.2</v>
      </c>
      <c r="E9" s="14">
        <f>IFERROR(__xludf.DUMMYFUNCTION("""COMPUTED_VALUE"""),4.6)</f>
        <v>4.6</v>
      </c>
      <c r="F9" s="33">
        <f>IFERROR(__xludf.DUMMYFUNCTION("""COMPUTED_VALUE"""),5.0)</f>
        <v>5</v>
      </c>
      <c r="G9" s="35">
        <f>IFERROR(__xludf.DUMMYFUNCTION("""COMPUTED_VALUE"""),4.5)</f>
        <v>4.5</v>
      </c>
      <c r="H9" s="1">
        <f>IFERROR(__xludf.DUMMYFUNCTION("""COMPUTED_VALUE"""),4.8)</f>
        <v>4.8</v>
      </c>
      <c r="I9" s="1">
        <f>IFERROR(__xludf.DUMMYFUNCTION("""COMPUTED_VALUE"""),4.9)</f>
        <v>4.9</v>
      </c>
      <c r="J9" s="37">
        <f>IFERROR(__xludf.DUMMYFUNCTION("""COMPUTED_VALUE"""),4.8)</f>
        <v>4.8</v>
      </c>
      <c r="K9" s="37">
        <f>IFERROR(__xludf.DUMMYFUNCTION("""COMPUTED_VALUE"""),4.0)</f>
        <v>4</v>
      </c>
      <c r="L9" s="37">
        <f>IFERROR(__xludf.DUMMYFUNCTION("""COMPUTED_VALUE"""),4.3)</f>
        <v>4.3</v>
      </c>
      <c r="M9" s="37">
        <f>IFERROR(__xludf.DUMMYFUNCTION("""COMPUTED_VALUE"""),2.8)</f>
        <v>2.8</v>
      </c>
      <c r="N9" s="32">
        <f>IFERROR(__xludf.DUMMYFUNCTION("""COMPUTED_VALUE"""),4.2)</f>
        <v>4.2</v>
      </c>
      <c r="O9" s="32">
        <f>IFERROR(__xludf.DUMMYFUNCTION("""COMPUTED_VALUE"""),0.0)</f>
        <v>0</v>
      </c>
      <c r="P9" s="38">
        <f>IFERROR(__xludf.DUMMYFUNCTION("""COMPUTED_VALUE"""),4.733333333333333)</f>
        <v>4.733333333</v>
      </c>
      <c r="Q9" s="37"/>
      <c r="R9" s="37">
        <f>IFERROR(__xludf.DUMMYFUNCTION("""COMPUTED_VALUE"""),4.8)</f>
        <v>4.8</v>
      </c>
      <c r="S9" s="37">
        <f>IFERROR(__xludf.DUMMYFUNCTION("""COMPUTED_VALUE"""),4.6)</f>
        <v>4.6</v>
      </c>
      <c r="T9" s="37">
        <f>IFERROR(__xludf.DUMMYFUNCTION("""COMPUTED_VALUE"""),4.8)</f>
        <v>4.8</v>
      </c>
      <c r="U9" s="37"/>
      <c r="V9" s="37">
        <f>IFERROR(__xludf.DUMMYFUNCTION("""COMPUTED_VALUE"""),2.2)</f>
        <v>2.2</v>
      </c>
      <c r="W9" s="37">
        <f>IFERROR(__xludf.DUMMYFUNCTION("""COMPUTED_VALUE"""),3.35)</f>
        <v>3.35</v>
      </c>
      <c r="X9" s="37" t="str">
        <f>IFERROR(__xludf.DUMMYFUNCTION("""COMPUTED_VALUE"""),"U00193225")</f>
        <v>U00193225</v>
      </c>
      <c r="Y9" s="37"/>
    </row>
    <row r="10">
      <c r="A10" s="25">
        <v>9.0</v>
      </c>
      <c r="B10" s="28" t="s">
        <v>40</v>
      </c>
      <c r="C10" s="31">
        <f>IFERROR(__xludf.DUMMYFUNCTION("""COMPUTED_VALUE"""),2.4)</f>
        <v>2.4</v>
      </c>
      <c r="D10" s="32">
        <f>IFERROR(__xludf.DUMMYFUNCTION("""COMPUTED_VALUE"""),3.0)</f>
        <v>3</v>
      </c>
      <c r="E10" s="14">
        <f>IFERROR(__xludf.DUMMYFUNCTION("""COMPUTED_VALUE"""),3.7)</f>
        <v>3.7</v>
      </c>
      <c r="F10" s="33">
        <f>IFERROR(__xludf.DUMMYFUNCTION("""COMPUTED_VALUE"""),5.0)</f>
        <v>5</v>
      </c>
      <c r="G10" s="35">
        <f>IFERROR(__xludf.DUMMYFUNCTION("""COMPUTED_VALUE"""),3.4)</f>
        <v>3.4</v>
      </c>
      <c r="H10" s="1">
        <f>IFERROR(__xludf.DUMMYFUNCTION("""COMPUTED_VALUE"""),4.4)</f>
        <v>4.4</v>
      </c>
      <c r="I10" s="1">
        <f>IFERROR(__xludf.DUMMYFUNCTION("""COMPUTED_VALUE"""),0.0)</f>
        <v>0</v>
      </c>
      <c r="J10" s="37">
        <f>IFERROR(__xludf.DUMMYFUNCTION("""COMPUTED_VALUE"""),0.0)</f>
        <v>0</v>
      </c>
      <c r="K10" s="37">
        <f>IFERROR(__xludf.DUMMYFUNCTION("""COMPUTED_VALUE"""),5.0)</f>
        <v>5</v>
      </c>
      <c r="L10" s="37">
        <f>IFERROR(__xludf.DUMMYFUNCTION("""COMPUTED_VALUE"""),4.8)</f>
        <v>4.8</v>
      </c>
      <c r="M10" s="37">
        <f>IFERROR(__xludf.DUMMYFUNCTION("""COMPUTED_VALUE"""),4.3)</f>
        <v>4.3</v>
      </c>
      <c r="N10" s="32">
        <f>IFERROR(__xludf.DUMMYFUNCTION("""COMPUTED_VALUE"""),3.1)</f>
        <v>3.1</v>
      </c>
      <c r="O10" s="32">
        <f>IFERROR(__xludf.DUMMYFUNCTION("""COMPUTED_VALUE"""),0.0)</f>
        <v>0</v>
      </c>
      <c r="P10" s="38">
        <f>IFERROR(__xludf.DUMMYFUNCTION("""COMPUTED_VALUE"""),4.633333333333334)</f>
        <v>4.633333333</v>
      </c>
      <c r="Q10" s="37"/>
      <c r="R10" s="37">
        <f>IFERROR(__xludf.DUMMYFUNCTION("""COMPUTED_VALUE"""),4.7)</f>
        <v>4.7</v>
      </c>
      <c r="S10" s="37">
        <f>IFERROR(__xludf.DUMMYFUNCTION("""COMPUTED_VALUE"""),4.4)</f>
        <v>4.4</v>
      </c>
      <c r="T10" s="37">
        <f>IFERROR(__xludf.DUMMYFUNCTION("""COMPUTED_VALUE"""),4.8)</f>
        <v>4.8</v>
      </c>
      <c r="U10" s="37"/>
      <c r="V10" s="37">
        <f>IFERROR(__xludf.DUMMYFUNCTION("""COMPUTED_VALUE"""),1.9)</f>
        <v>1.9</v>
      </c>
      <c r="W10" s="37">
        <f>IFERROR(__xludf.DUMMYFUNCTION("""COMPUTED_VALUE"""),2.65)</f>
        <v>2.65</v>
      </c>
      <c r="X10" s="37" t="str">
        <f>IFERROR(__xludf.DUMMYFUNCTION("""COMPUTED_VALUE"""),"U00192587")</f>
        <v>U00192587</v>
      </c>
      <c r="Y10" s="37"/>
    </row>
    <row r="11">
      <c r="A11" s="25">
        <v>10.0</v>
      </c>
      <c r="B11" s="28" t="s">
        <v>44</v>
      </c>
      <c r="C11" s="31">
        <f>IFERROR(__xludf.DUMMYFUNCTION("""COMPUTED_VALUE"""),3.9)</f>
        <v>3.9</v>
      </c>
      <c r="D11" s="32">
        <f>IFERROR(__xludf.DUMMYFUNCTION("""COMPUTED_VALUE"""),5.0)</f>
        <v>5</v>
      </c>
      <c r="E11" s="14">
        <f>IFERROR(__xludf.DUMMYFUNCTION("""COMPUTED_VALUE"""),4.8)</f>
        <v>4.8</v>
      </c>
      <c r="F11" s="33">
        <f>IFERROR(__xludf.DUMMYFUNCTION("""COMPUTED_VALUE"""),5.0)</f>
        <v>5</v>
      </c>
      <c r="G11" s="35">
        <f>IFERROR(__xludf.DUMMYFUNCTION("""COMPUTED_VALUE"""),4.6)</f>
        <v>4.6</v>
      </c>
      <c r="H11" s="1">
        <f>IFERROR(__xludf.DUMMYFUNCTION("""COMPUTED_VALUE"""),2.3)</f>
        <v>2.3</v>
      </c>
      <c r="I11" s="1">
        <f>IFERROR(__xludf.DUMMYFUNCTION("""COMPUTED_VALUE"""),5.0)</f>
        <v>5</v>
      </c>
      <c r="J11" s="37">
        <f>IFERROR(__xludf.DUMMYFUNCTION("""COMPUTED_VALUE"""),4.8)</f>
        <v>4.8</v>
      </c>
      <c r="K11" s="37">
        <f>IFERROR(__xludf.DUMMYFUNCTION("""COMPUTED_VALUE"""),5.0)</f>
        <v>5</v>
      </c>
      <c r="L11" s="37">
        <f>IFERROR(__xludf.DUMMYFUNCTION("""COMPUTED_VALUE"""),4.8)</f>
        <v>4.8</v>
      </c>
      <c r="M11" s="37">
        <f>IFERROR(__xludf.DUMMYFUNCTION("""COMPUTED_VALUE"""),4.6)</f>
        <v>4.6</v>
      </c>
      <c r="N11" s="32">
        <f>IFERROR(__xludf.DUMMYFUNCTION("""COMPUTED_VALUE"""),2.1)</f>
        <v>2.1</v>
      </c>
      <c r="O11" s="32">
        <f>IFERROR(__xludf.DUMMYFUNCTION("""COMPUTED_VALUE"""),0.0)</f>
        <v>0</v>
      </c>
      <c r="P11" s="38">
        <f>IFERROR(__xludf.DUMMYFUNCTION("""COMPUTED_VALUE"""),4.633333333333334)</f>
        <v>4.633333333</v>
      </c>
      <c r="Q11" s="37"/>
      <c r="R11" s="37">
        <f>IFERROR(__xludf.DUMMYFUNCTION("""COMPUTED_VALUE"""),4.5)</f>
        <v>4.5</v>
      </c>
      <c r="S11" s="37">
        <f>IFERROR(__xludf.DUMMYFUNCTION("""COMPUTED_VALUE"""),4.9)</f>
        <v>4.9</v>
      </c>
      <c r="T11" s="37">
        <f>IFERROR(__xludf.DUMMYFUNCTION("""COMPUTED_VALUE"""),4.5)</f>
        <v>4.5</v>
      </c>
      <c r="U11" s="37"/>
      <c r="V11" s="37">
        <f>IFERROR(__xludf.DUMMYFUNCTION("""COMPUTED_VALUE"""),1.6)</f>
        <v>1.6</v>
      </c>
      <c r="W11" s="37">
        <f>IFERROR(__xludf.DUMMYFUNCTION("""COMPUTED_VALUE"""),3.0999999999999996)</f>
        <v>3.1</v>
      </c>
      <c r="X11" s="37" t="str">
        <f>IFERROR(__xludf.DUMMYFUNCTION("""COMPUTED_VALUE"""),"U00192497")</f>
        <v>U00192497</v>
      </c>
      <c r="Y11" s="37"/>
    </row>
    <row r="12">
      <c r="A12" s="25">
        <v>11.0</v>
      </c>
      <c r="B12" s="28" t="s">
        <v>49</v>
      </c>
      <c r="C12" s="31">
        <f>IFERROR(__xludf.DUMMYFUNCTION("""COMPUTED_VALUE"""),4.6)</f>
        <v>4.6</v>
      </c>
      <c r="D12" s="32">
        <f>IFERROR(__xludf.DUMMYFUNCTION("""COMPUTED_VALUE"""),4.7)</f>
        <v>4.7</v>
      </c>
      <c r="E12" s="14">
        <f>IFERROR(__xludf.DUMMYFUNCTION("""COMPUTED_VALUE"""),4.7)</f>
        <v>4.7</v>
      </c>
      <c r="F12" s="33">
        <f>IFERROR(__xludf.DUMMYFUNCTION("""COMPUTED_VALUE"""),5.0)</f>
        <v>5</v>
      </c>
      <c r="G12" s="35">
        <f>IFERROR(__xludf.DUMMYFUNCTION("""COMPUTED_VALUE"""),4.7)</f>
        <v>4.7</v>
      </c>
      <c r="H12" s="1">
        <f>IFERROR(__xludf.DUMMYFUNCTION("""COMPUTED_VALUE"""),4.8)</f>
        <v>4.8</v>
      </c>
      <c r="I12" s="1">
        <f>IFERROR(__xludf.DUMMYFUNCTION("""COMPUTED_VALUE"""),5.0)</f>
        <v>5</v>
      </c>
      <c r="J12" s="37">
        <f>IFERROR(__xludf.DUMMYFUNCTION("""COMPUTED_VALUE"""),5.0)</f>
        <v>5</v>
      </c>
      <c r="K12" s="37">
        <f>IFERROR(__xludf.DUMMYFUNCTION("""COMPUTED_VALUE"""),0.0)</f>
        <v>0</v>
      </c>
      <c r="L12" s="37">
        <f>IFERROR(__xludf.DUMMYFUNCTION("""COMPUTED_VALUE"""),4.5)</f>
        <v>4.5</v>
      </c>
      <c r="M12" s="37">
        <f>IFERROR(__xludf.DUMMYFUNCTION("""COMPUTED_VALUE"""),4.3)</f>
        <v>4.3</v>
      </c>
      <c r="N12" s="32">
        <f>IFERROR(__xludf.DUMMYFUNCTION("""COMPUTED_VALUE"""),4.5)</f>
        <v>4.5</v>
      </c>
      <c r="O12" s="32">
        <f>IFERROR(__xludf.DUMMYFUNCTION("""COMPUTED_VALUE"""),0.0)</f>
        <v>0</v>
      </c>
      <c r="P12" s="38">
        <f>IFERROR(__xludf.DUMMYFUNCTION("""COMPUTED_VALUE"""),2.8666666666666667)</f>
        <v>2.866666667</v>
      </c>
      <c r="Q12" s="37"/>
      <c r="R12" s="37">
        <f>IFERROR(__xludf.DUMMYFUNCTION("""COMPUTED_VALUE"""),3.8)</f>
        <v>3.8</v>
      </c>
      <c r="S12" s="37">
        <f>IFERROR(__xludf.DUMMYFUNCTION("""COMPUTED_VALUE"""),0.0)</f>
        <v>0</v>
      </c>
      <c r="T12" s="37">
        <f>IFERROR(__xludf.DUMMYFUNCTION("""COMPUTED_VALUE"""),4.8)</f>
        <v>4.8</v>
      </c>
      <c r="U12" s="37"/>
      <c r="V12" s="37">
        <f>IFERROR(__xludf.DUMMYFUNCTION("""COMPUTED_VALUE"""),1.9)</f>
        <v>1.9</v>
      </c>
      <c r="W12" s="37">
        <f>IFERROR(__xludf.DUMMYFUNCTION("""COMPUTED_VALUE"""),3.3)</f>
        <v>3.3</v>
      </c>
      <c r="X12" s="37" t="str">
        <f>IFERROR(__xludf.DUMMYFUNCTION("""COMPUTED_VALUE"""),"U00192876")</f>
        <v>U00192876</v>
      </c>
      <c r="Y12" s="37"/>
    </row>
    <row r="13">
      <c r="A13" s="25">
        <v>12.0</v>
      </c>
      <c r="B13" s="28" t="s">
        <v>52</v>
      </c>
      <c r="C13" s="31">
        <f>IFERROR(__xludf.DUMMYFUNCTION("""COMPUTED_VALUE"""),1.8)</f>
        <v>1.8</v>
      </c>
      <c r="D13" s="32">
        <f>IFERROR(__xludf.DUMMYFUNCTION("""COMPUTED_VALUE"""),2.0)</f>
        <v>2</v>
      </c>
      <c r="E13" s="14">
        <f>IFERROR(__xludf.DUMMYFUNCTION("""COMPUTED_VALUE"""),4.5)</f>
        <v>4.5</v>
      </c>
      <c r="F13" s="33">
        <f>IFERROR(__xludf.DUMMYFUNCTION("""COMPUTED_VALUE"""),5.0)</f>
        <v>5</v>
      </c>
      <c r="G13" s="35">
        <f>IFERROR(__xludf.DUMMYFUNCTION("""COMPUTED_VALUE"""),3.0)</f>
        <v>3</v>
      </c>
      <c r="H13" s="1">
        <f>IFERROR(__xludf.DUMMYFUNCTION("""COMPUTED_VALUE"""),3.2)</f>
        <v>3.2</v>
      </c>
      <c r="I13" s="1">
        <f>IFERROR(__xludf.DUMMYFUNCTION("""COMPUTED_VALUE"""),3.3)</f>
        <v>3.3</v>
      </c>
      <c r="J13" s="37">
        <f>IFERROR(__xludf.DUMMYFUNCTION("""COMPUTED_VALUE"""),4.8)</f>
        <v>4.8</v>
      </c>
      <c r="K13" s="37">
        <f>IFERROR(__xludf.DUMMYFUNCTION("""COMPUTED_VALUE"""),4.8)</f>
        <v>4.8</v>
      </c>
      <c r="L13" s="37">
        <f>IFERROR(__xludf.DUMMYFUNCTION("""COMPUTED_VALUE"""),4.6)</f>
        <v>4.6</v>
      </c>
      <c r="M13" s="37">
        <f>IFERROR(__xludf.DUMMYFUNCTION("""COMPUTED_VALUE"""),5.0)</f>
        <v>5</v>
      </c>
      <c r="N13" s="32">
        <f>IFERROR(__xludf.DUMMYFUNCTION("""COMPUTED_VALUE"""),3.7)</f>
        <v>3.7</v>
      </c>
      <c r="O13" s="32">
        <f>IFERROR(__xludf.DUMMYFUNCTION("""COMPUTED_VALUE"""),0.0)</f>
        <v>0</v>
      </c>
      <c r="P13" s="38">
        <f>IFERROR(__xludf.DUMMYFUNCTION("""COMPUTED_VALUE"""),2.3333333333333335)</f>
        <v>2.333333333</v>
      </c>
      <c r="Q13" s="37"/>
      <c r="R13" s="37">
        <f>IFERROR(__xludf.DUMMYFUNCTION("""COMPUTED_VALUE"""),2.0)</f>
        <v>2</v>
      </c>
      <c r="S13" s="37">
        <f>IFERROR(__xludf.DUMMYFUNCTION("""COMPUTED_VALUE"""),0.0)</f>
        <v>0</v>
      </c>
      <c r="T13" s="37">
        <f>IFERROR(__xludf.DUMMYFUNCTION("""COMPUTED_VALUE"""),5.0)</f>
        <v>5</v>
      </c>
      <c r="U13" s="37"/>
      <c r="V13" s="37">
        <f>IFERROR(__xludf.DUMMYFUNCTION("""COMPUTED_VALUE"""),1.6)</f>
        <v>1.6</v>
      </c>
      <c r="W13" s="37">
        <f>IFERROR(__xludf.DUMMYFUNCTION("""COMPUTED_VALUE"""),2.3)</f>
        <v>2.3</v>
      </c>
      <c r="X13" s="37" t="str">
        <f>IFERROR(__xludf.DUMMYFUNCTION("""COMPUTED_VALUE"""),"U00194338")</f>
        <v>U00194338</v>
      </c>
      <c r="Y13" s="37"/>
    </row>
    <row r="14">
      <c r="A14" s="25">
        <v>13.0</v>
      </c>
      <c r="B14" s="28" t="s">
        <v>55</v>
      </c>
      <c r="C14" s="31">
        <f>IFERROR(__xludf.DUMMYFUNCTION("""COMPUTED_VALUE"""),1.7)</f>
        <v>1.7</v>
      </c>
      <c r="D14" s="32">
        <f>IFERROR(__xludf.DUMMYFUNCTION("""COMPUTED_VALUE"""),3.0)</f>
        <v>3</v>
      </c>
      <c r="E14" s="14">
        <f>IFERROR(__xludf.DUMMYFUNCTION("""COMPUTED_VALUE"""),0.0)</f>
        <v>0</v>
      </c>
      <c r="F14" s="33">
        <f>IFERROR(__xludf.DUMMYFUNCTION("""COMPUTED_VALUE"""),5.0)</f>
        <v>5</v>
      </c>
      <c r="G14" s="35">
        <f>IFERROR(__xludf.DUMMYFUNCTION("""COMPUTED_VALUE"""),2.4)</f>
        <v>2.4</v>
      </c>
      <c r="H14" s="1">
        <f>IFERROR(__xludf.DUMMYFUNCTION("""COMPUTED_VALUE"""),0.0)</f>
        <v>0</v>
      </c>
      <c r="I14" s="1">
        <f>IFERROR(__xludf.DUMMYFUNCTION("""COMPUTED_VALUE"""),0.0)</f>
        <v>0</v>
      </c>
      <c r="J14" s="37">
        <f>IFERROR(__xludf.DUMMYFUNCTION("""COMPUTED_VALUE"""),0.0)</f>
        <v>0</v>
      </c>
      <c r="K14" s="37">
        <f>IFERROR(__xludf.DUMMYFUNCTION("""COMPUTED_VALUE"""),0.0)</f>
        <v>0</v>
      </c>
      <c r="L14" s="37">
        <f>IFERROR(__xludf.DUMMYFUNCTION("""COMPUTED_VALUE"""),0.0)</f>
        <v>0</v>
      </c>
      <c r="M14" s="37">
        <f>IFERROR(__xludf.DUMMYFUNCTION("""COMPUTED_VALUE"""),0.0)</f>
        <v>0</v>
      </c>
      <c r="N14" s="32">
        <f>IFERROR(__xludf.DUMMYFUNCTION("""COMPUTED_VALUE"""),3.6)</f>
        <v>3.6</v>
      </c>
      <c r="O14" s="32">
        <f>IFERROR(__xludf.DUMMYFUNCTION("""COMPUTED_VALUE"""),0.0)</f>
        <v>0</v>
      </c>
      <c r="P14" s="38">
        <f>IFERROR(__xludf.DUMMYFUNCTION("""COMPUTED_VALUE"""),1.6666666666666667)</f>
        <v>1.666666667</v>
      </c>
      <c r="Q14" s="37"/>
      <c r="R14" s="37">
        <f>IFERROR(__xludf.DUMMYFUNCTION("""COMPUTED_VALUE"""),0.0)</f>
        <v>0</v>
      </c>
      <c r="S14" s="37">
        <f>IFERROR(__xludf.DUMMYFUNCTION("""COMPUTED_VALUE"""),0.0)</f>
        <v>0</v>
      </c>
      <c r="T14" s="37">
        <f>IFERROR(__xludf.DUMMYFUNCTION("""COMPUTED_VALUE"""),5.0)</f>
        <v>5</v>
      </c>
      <c r="U14" s="37"/>
      <c r="V14" s="37">
        <f>IFERROR(__xludf.DUMMYFUNCTION("""COMPUTED_VALUE"""),1.4)</f>
        <v>1.4</v>
      </c>
      <c r="W14" s="37">
        <f>IFERROR(__xludf.DUMMYFUNCTION("""COMPUTED_VALUE"""),1.9)</f>
        <v>1.9</v>
      </c>
      <c r="X14" s="37" t="str">
        <f>IFERROR(__xludf.DUMMYFUNCTION("""COMPUTED_VALUE"""),"U00194436")</f>
        <v>U00194436</v>
      </c>
      <c r="Y14" s="37"/>
    </row>
    <row r="15">
      <c r="A15" s="25">
        <v>14.0</v>
      </c>
      <c r="B15" s="28" t="s">
        <v>58</v>
      </c>
      <c r="C15" s="31">
        <f>IFERROR(__xludf.DUMMYFUNCTION("""COMPUTED_VALUE"""),5.0)</f>
        <v>5</v>
      </c>
      <c r="D15" s="32">
        <f>IFERROR(__xludf.DUMMYFUNCTION("""COMPUTED_VALUE"""),4.9)</f>
        <v>4.9</v>
      </c>
      <c r="E15" s="14">
        <f>IFERROR(__xludf.DUMMYFUNCTION("""COMPUTED_VALUE"""),4.9)</f>
        <v>4.9</v>
      </c>
      <c r="F15" s="33">
        <f>IFERROR(__xludf.DUMMYFUNCTION("""COMPUTED_VALUE"""),5.0)</f>
        <v>5</v>
      </c>
      <c r="G15" s="35">
        <f>IFERROR(__xludf.DUMMYFUNCTION("""COMPUTED_VALUE"""),5.0)</f>
        <v>5</v>
      </c>
      <c r="H15" s="1">
        <f>IFERROR(__xludf.DUMMYFUNCTION("""COMPUTED_VALUE"""),5.0)</f>
        <v>5</v>
      </c>
      <c r="I15" s="1">
        <f>IFERROR(__xludf.DUMMYFUNCTION("""COMPUTED_VALUE"""),5.0)</f>
        <v>5</v>
      </c>
      <c r="J15" s="37">
        <f>IFERROR(__xludf.DUMMYFUNCTION("""COMPUTED_VALUE"""),4.8)</f>
        <v>4.8</v>
      </c>
      <c r="K15" s="37">
        <f>IFERROR(__xludf.DUMMYFUNCTION("""COMPUTED_VALUE"""),5.0)</f>
        <v>5</v>
      </c>
      <c r="L15" s="37">
        <f>IFERROR(__xludf.DUMMYFUNCTION("""COMPUTED_VALUE"""),4.5)</f>
        <v>4.5</v>
      </c>
      <c r="M15" s="37">
        <f>IFERROR(__xludf.DUMMYFUNCTION("""COMPUTED_VALUE"""),4.0)</f>
        <v>4</v>
      </c>
      <c r="N15" s="32">
        <f>IFERROR(__xludf.DUMMYFUNCTION("""COMPUTED_VALUE"""),4.5)</f>
        <v>4.5</v>
      </c>
      <c r="O15" s="32">
        <f>IFERROR(__xludf.DUMMYFUNCTION("""COMPUTED_VALUE"""),0.0)</f>
        <v>0</v>
      </c>
      <c r="P15" s="38">
        <f>IFERROR(__xludf.DUMMYFUNCTION("""COMPUTED_VALUE"""),4.866666666666667)</f>
        <v>4.866666667</v>
      </c>
      <c r="Q15" s="37"/>
      <c r="R15" s="37">
        <f>IFERROR(__xludf.DUMMYFUNCTION("""COMPUTED_VALUE"""),4.9)</f>
        <v>4.9</v>
      </c>
      <c r="S15" s="37">
        <f>IFERROR(__xludf.DUMMYFUNCTION("""COMPUTED_VALUE"""),4.9)</f>
        <v>4.9</v>
      </c>
      <c r="T15" s="37">
        <f>IFERROR(__xludf.DUMMYFUNCTION("""COMPUTED_VALUE"""),4.8)</f>
        <v>4.8</v>
      </c>
      <c r="U15" s="37"/>
      <c r="V15" s="37">
        <f>IFERROR(__xludf.DUMMYFUNCTION("""COMPUTED_VALUE"""),2.3)</f>
        <v>2.3</v>
      </c>
      <c r="W15" s="37">
        <f>IFERROR(__xludf.DUMMYFUNCTION("""COMPUTED_VALUE"""),3.65)</f>
        <v>3.65</v>
      </c>
      <c r="X15" s="37" t="str">
        <f>IFERROR(__xludf.DUMMYFUNCTION("""COMPUTED_VALUE"""),"U00193495")</f>
        <v>U00193495</v>
      </c>
      <c r="Y15" s="37"/>
    </row>
    <row r="16">
      <c r="A16" s="25">
        <v>15.0</v>
      </c>
      <c r="B16" s="28" t="s">
        <v>62</v>
      </c>
      <c r="C16" s="31">
        <f>IFERROR(__xludf.DUMMYFUNCTION("""COMPUTED_VALUE"""),4.6)</f>
        <v>4.6</v>
      </c>
      <c r="D16" s="32">
        <f>IFERROR(__xludf.DUMMYFUNCTION("""COMPUTED_VALUE"""),4.9)</f>
        <v>4.9</v>
      </c>
      <c r="E16" s="14">
        <f>IFERROR(__xludf.DUMMYFUNCTION("""COMPUTED_VALUE"""),4.9)</f>
        <v>4.9</v>
      </c>
      <c r="F16" s="33">
        <f>IFERROR(__xludf.DUMMYFUNCTION("""COMPUTED_VALUE"""),5.0)</f>
        <v>5</v>
      </c>
      <c r="G16" s="35">
        <f>IFERROR(__xludf.DUMMYFUNCTION("""COMPUTED_VALUE"""),4.8)</f>
        <v>4.8</v>
      </c>
      <c r="H16" s="1">
        <f>IFERROR(__xludf.DUMMYFUNCTION("""COMPUTED_VALUE"""),5.0)</f>
        <v>5</v>
      </c>
      <c r="I16" s="1">
        <f>IFERROR(__xludf.DUMMYFUNCTION("""COMPUTED_VALUE"""),4.6)</f>
        <v>4.6</v>
      </c>
      <c r="J16" s="37">
        <f>IFERROR(__xludf.DUMMYFUNCTION("""COMPUTED_VALUE"""),5.0)</f>
        <v>5</v>
      </c>
      <c r="K16" s="37">
        <f>IFERROR(__xludf.DUMMYFUNCTION("""COMPUTED_VALUE"""),5.0)</f>
        <v>5</v>
      </c>
      <c r="L16" s="37">
        <f>IFERROR(__xludf.DUMMYFUNCTION("""COMPUTED_VALUE"""),4.8)</f>
        <v>4.8</v>
      </c>
      <c r="M16" s="37">
        <f>IFERROR(__xludf.DUMMYFUNCTION("""COMPUTED_VALUE"""),4.8)</f>
        <v>4.8</v>
      </c>
      <c r="N16" s="32">
        <f>IFERROR(__xludf.DUMMYFUNCTION("""COMPUTED_VALUE"""),4.4)</f>
        <v>4.4</v>
      </c>
      <c r="O16" s="32">
        <f>IFERROR(__xludf.DUMMYFUNCTION("""COMPUTED_VALUE"""),0.0)</f>
        <v>0</v>
      </c>
      <c r="P16" s="38">
        <f>IFERROR(__xludf.DUMMYFUNCTION("""COMPUTED_VALUE"""),4.833333333333333)</f>
        <v>4.833333333</v>
      </c>
      <c r="Q16" s="37"/>
      <c r="R16" s="37">
        <f>IFERROR(__xludf.DUMMYFUNCTION("""COMPUTED_VALUE"""),4.8)</f>
        <v>4.8</v>
      </c>
      <c r="S16" s="37">
        <f>IFERROR(__xludf.DUMMYFUNCTION("""COMPUTED_VALUE"""),4.7)</f>
        <v>4.7</v>
      </c>
      <c r="T16" s="37">
        <f>IFERROR(__xludf.DUMMYFUNCTION("""COMPUTED_VALUE"""),5.0)</f>
        <v>5</v>
      </c>
      <c r="U16" s="37"/>
      <c r="V16" s="37">
        <f>IFERROR(__xludf.DUMMYFUNCTION("""COMPUTED_VALUE"""),2.3)</f>
        <v>2.3</v>
      </c>
      <c r="W16" s="37">
        <f>IFERROR(__xludf.DUMMYFUNCTION("""COMPUTED_VALUE"""),3.55)</f>
        <v>3.55</v>
      </c>
      <c r="X16" s="37" t="str">
        <f>IFERROR(__xludf.DUMMYFUNCTION("""COMPUTED_VALUE"""),"U00194327")</f>
        <v>U00194327</v>
      </c>
      <c r="Y16" s="37"/>
    </row>
    <row r="17">
      <c r="A17" s="25">
        <v>16.0</v>
      </c>
      <c r="B17" s="28" t="s">
        <v>65</v>
      </c>
      <c r="C17" s="31">
        <f>IFERROR(__xludf.DUMMYFUNCTION("""COMPUTED_VALUE"""),3.4)</f>
        <v>3.4</v>
      </c>
      <c r="D17" s="32">
        <f>IFERROR(__xludf.DUMMYFUNCTION("""COMPUTED_VALUE"""),2.8)</f>
        <v>2.8</v>
      </c>
      <c r="E17" s="14">
        <f>IFERROR(__xludf.DUMMYFUNCTION("""COMPUTED_VALUE"""),4.8)</f>
        <v>4.8</v>
      </c>
      <c r="F17" s="33">
        <f>IFERROR(__xludf.DUMMYFUNCTION("""COMPUTED_VALUE"""),5.0)</f>
        <v>5</v>
      </c>
      <c r="G17" s="35">
        <f>IFERROR(__xludf.DUMMYFUNCTION("""COMPUTED_VALUE"""),3.8)</f>
        <v>3.8</v>
      </c>
      <c r="H17" s="1">
        <f>IFERROR(__xludf.DUMMYFUNCTION("""COMPUTED_VALUE"""),4.3)</f>
        <v>4.3</v>
      </c>
      <c r="I17" s="1">
        <f>IFERROR(__xludf.DUMMYFUNCTION("""COMPUTED_VALUE"""),5.0)</f>
        <v>5</v>
      </c>
      <c r="J17" s="37">
        <f>IFERROR(__xludf.DUMMYFUNCTION("""COMPUTED_VALUE"""),5.0)</f>
        <v>5</v>
      </c>
      <c r="K17" s="37">
        <f>IFERROR(__xludf.DUMMYFUNCTION("""COMPUTED_VALUE"""),4.9)</f>
        <v>4.9</v>
      </c>
      <c r="L17" s="37">
        <f>IFERROR(__xludf.DUMMYFUNCTION("""COMPUTED_VALUE"""),4.9)</f>
        <v>4.9</v>
      </c>
      <c r="M17" s="37">
        <f>IFERROR(__xludf.DUMMYFUNCTION("""COMPUTED_VALUE"""),0.0)</f>
        <v>0</v>
      </c>
      <c r="N17" s="32">
        <f>IFERROR(__xludf.DUMMYFUNCTION("""COMPUTED_VALUE"""),4.5)</f>
        <v>4.5</v>
      </c>
      <c r="O17" s="32">
        <f>IFERROR(__xludf.DUMMYFUNCTION("""COMPUTED_VALUE"""),0.0)</f>
        <v>0</v>
      </c>
      <c r="P17" s="38">
        <f>IFERROR(__xludf.DUMMYFUNCTION("""COMPUTED_VALUE"""),4.066666666666666)</f>
        <v>4.066666667</v>
      </c>
      <c r="Q17" s="37"/>
      <c r="R17" s="37">
        <f>IFERROR(__xludf.DUMMYFUNCTION("""COMPUTED_VALUE"""),2.6)</f>
        <v>2.6</v>
      </c>
      <c r="S17" s="37">
        <f>IFERROR(__xludf.DUMMYFUNCTION("""COMPUTED_VALUE"""),4.6)</f>
        <v>4.6</v>
      </c>
      <c r="T17" s="37">
        <f>IFERROR(__xludf.DUMMYFUNCTION("""COMPUTED_VALUE"""),5.0)</f>
        <v>5</v>
      </c>
      <c r="U17" s="37"/>
      <c r="V17" s="37">
        <f>IFERROR(__xludf.DUMMYFUNCTION("""COMPUTED_VALUE"""),2.2)</f>
        <v>2.2</v>
      </c>
      <c r="W17" s="37">
        <f>IFERROR(__xludf.DUMMYFUNCTION("""COMPUTED_VALUE"""),3.0)</f>
        <v>3</v>
      </c>
      <c r="X17" s="37" t="str">
        <f>IFERROR(__xludf.DUMMYFUNCTION("""COMPUTED_VALUE"""),"U00194738")</f>
        <v>U00194738</v>
      </c>
      <c r="Y17" s="37"/>
    </row>
    <row r="18">
      <c r="A18" s="25">
        <v>17.0</v>
      </c>
      <c r="B18" s="28" t="s">
        <v>70</v>
      </c>
      <c r="C18" s="31">
        <f>IFERROR(__xludf.DUMMYFUNCTION("""COMPUTED_VALUE"""),2.8)</f>
        <v>2.8</v>
      </c>
      <c r="D18" s="32">
        <f>IFERROR(__xludf.DUMMYFUNCTION("""COMPUTED_VALUE"""),3.9)</f>
        <v>3.9</v>
      </c>
      <c r="E18" s="14">
        <f>IFERROR(__xludf.DUMMYFUNCTION("""COMPUTED_VALUE"""),4.8)</f>
        <v>4.8</v>
      </c>
      <c r="F18" s="33">
        <f>IFERROR(__xludf.DUMMYFUNCTION("""COMPUTED_VALUE"""),5.0)</f>
        <v>5</v>
      </c>
      <c r="G18" s="35">
        <f>IFERROR(__xludf.DUMMYFUNCTION("""COMPUTED_VALUE"""),4.0)</f>
        <v>4</v>
      </c>
      <c r="H18" s="1">
        <f>IFERROR(__xludf.DUMMYFUNCTION("""COMPUTED_VALUE"""),4.4)</f>
        <v>4.4</v>
      </c>
      <c r="I18" s="1">
        <f>IFERROR(__xludf.DUMMYFUNCTION("""COMPUTED_VALUE"""),4.8)</f>
        <v>4.8</v>
      </c>
      <c r="J18" s="37">
        <f>IFERROR(__xludf.DUMMYFUNCTION("""COMPUTED_VALUE"""),0.0)</f>
        <v>0</v>
      </c>
      <c r="K18" s="37">
        <f>IFERROR(__xludf.DUMMYFUNCTION("""COMPUTED_VALUE"""),5.0)</f>
        <v>5</v>
      </c>
      <c r="L18" s="37">
        <f>IFERROR(__xludf.DUMMYFUNCTION("""COMPUTED_VALUE"""),5.0)</f>
        <v>5</v>
      </c>
      <c r="M18" s="37">
        <f>IFERROR(__xludf.DUMMYFUNCTION("""COMPUTED_VALUE"""),4.8)</f>
        <v>4.8</v>
      </c>
      <c r="N18" s="32">
        <f>IFERROR(__xludf.DUMMYFUNCTION("""COMPUTED_VALUE"""),4.1)</f>
        <v>4.1</v>
      </c>
      <c r="O18" s="32">
        <f>IFERROR(__xludf.DUMMYFUNCTION("""COMPUTED_VALUE"""),0.0)</f>
        <v>0</v>
      </c>
      <c r="P18" s="38">
        <f>IFERROR(__xludf.DUMMYFUNCTION("""COMPUTED_VALUE"""),4.733333333333333)</f>
        <v>4.733333333</v>
      </c>
      <c r="Q18" s="37"/>
      <c r="R18" s="37">
        <f>IFERROR(__xludf.DUMMYFUNCTION("""COMPUTED_VALUE"""),5.0)</f>
        <v>5</v>
      </c>
      <c r="S18" s="37">
        <f>IFERROR(__xludf.DUMMYFUNCTION("""COMPUTED_VALUE"""),4.4)</f>
        <v>4.4</v>
      </c>
      <c r="T18" s="37">
        <f>IFERROR(__xludf.DUMMYFUNCTION("""COMPUTED_VALUE"""),4.8)</f>
        <v>4.8</v>
      </c>
      <c r="U18" s="37"/>
      <c r="V18" s="37">
        <f>IFERROR(__xludf.DUMMYFUNCTION("""COMPUTED_VALUE"""),2.2)</f>
        <v>2.2</v>
      </c>
      <c r="W18" s="37">
        <f>IFERROR(__xludf.DUMMYFUNCTION("""COMPUTED_VALUE"""),3.1)</f>
        <v>3.1</v>
      </c>
      <c r="X18" s="37" t="str">
        <f>IFERROR(__xludf.DUMMYFUNCTION("""COMPUTED_VALUE"""),"U00194313")</f>
        <v>U00194313</v>
      </c>
      <c r="Y18" s="37"/>
    </row>
    <row r="19">
      <c r="A19" s="25">
        <v>18.0</v>
      </c>
      <c r="B19" s="28" t="s">
        <v>72</v>
      </c>
      <c r="C19" s="31">
        <f>IFERROR(__xludf.DUMMYFUNCTION("""COMPUTED_VALUE"""),3.1)</f>
        <v>3.1</v>
      </c>
      <c r="D19" s="32">
        <f>IFERROR(__xludf.DUMMYFUNCTION("""COMPUTED_VALUE"""),4.9)</f>
        <v>4.9</v>
      </c>
      <c r="E19" s="14">
        <f>IFERROR(__xludf.DUMMYFUNCTION("""COMPUTED_VALUE"""),4.6)</f>
        <v>4.6</v>
      </c>
      <c r="F19" s="33">
        <f>IFERROR(__xludf.DUMMYFUNCTION("""COMPUTED_VALUE"""),5.0)</f>
        <v>5</v>
      </c>
      <c r="G19" s="35">
        <f>IFERROR(__xludf.DUMMYFUNCTION("""COMPUTED_VALUE"""),4.3)</f>
        <v>4.3</v>
      </c>
      <c r="H19" s="1">
        <f>IFERROR(__xludf.DUMMYFUNCTION("""COMPUTED_VALUE"""),4.4)</f>
        <v>4.4</v>
      </c>
      <c r="I19" s="1">
        <f>IFERROR(__xludf.DUMMYFUNCTION("""COMPUTED_VALUE"""),4.6)</f>
        <v>4.6</v>
      </c>
      <c r="J19" s="37">
        <f>IFERROR(__xludf.DUMMYFUNCTION("""COMPUTED_VALUE"""),5.0)</f>
        <v>5</v>
      </c>
      <c r="K19" s="37">
        <f>IFERROR(__xludf.DUMMYFUNCTION("""COMPUTED_VALUE"""),3.8)</f>
        <v>3.8</v>
      </c>
      <c r="L19" s="37">
        <f>IFERROR(__xludf.DUMMYFUNCTION("""COMPUTED_VALUE"""),4.4)</f>
        <v>4.4</v>
      </c>
      <c r="M19" s="37">
        <f>IFERROR(__xludf.DUMMYFUNCTION("""COMPUTED_VALUE"""),4.7)</f>
        <v>4.7</v>
      </c>
      <c r="N19" s="32">
        <f>IFERROR(__xludf.DUMMYFUNCTION("""COMPUTED_VALUE"""),4.6)</f>
        <v>4.6</v>
      </c>
      <c r="O19" s="32">
        <f>IFERROR(__xludf.DUMMYFUNCTION("""COMPUTED_VALUE"""),0.0)</f>
        <v>0</v>
      </c>
      <c r="P19" s="38">
        <f>IFERROR(__xludf.DUMMYFUNCTION("""COMPUTED_VALUE"""),4.3)</f>
        <v>4.3</v>
      </c>
      <c r="Q19" s="37"/>
      <c r="R19" s="37">
        <f>IFERROR(__xludf.DUMMYFUNCTION("""COMPUTED_VALUE"""),4.5)</f>
        <v>4.5</v>
      </c>
      <c r="S19" s="37">
        <f>IFERROR(__xludf.DUMMYFUNCTION("""COMPUTED_VALUE"""),3.6)</f>
        <v>3.6</v>
      </c>
      <c r="T19" s="37">
        <f>IFERROR(__xludf.DUMMYFUNCTION("""COMPUTED_VALUE"""),4.8)</f>
        <v>4.8</v>
      </c>
      <c r="U19" s="37"/>
      <c r="V19" s="37">
        <f>IFERROR(__xludf.DUMMYFUNCTION("""COMPUTED_VALUE"""),2.2)</f>
        <v>2.2</v>
      </c>
      <c r="W19" s="37">
        <f>IFERROR(__xludf.DUMMYFUNCTION("""COMPUTED_VALUE"""),3.25)</f>
        <v>3.25</v>
      </c>
      <c r="X19" s="37" t="str">
        <f>IFERROR(__xludf.DUMMYFUNCTION("""COMPUTED_VALUE"""),"U00193907")</f>
        <v>U00193907</v>
      </c>
      <c r="Y19" s="37"/>
    </row>
    <row r="20">
      <c r="A20" s="25">
        <v>19.0</v>
      </c>
      <c r="B20" s="28" t="s">
        <v>73</v>
      </c>
      <c r="C20" s="31">
        <f>IFERROR(__xludf.DUMMYFUNCTION("""COMPUTED_VALUE"""),0.0)</f>
        <v>0</v>
      </c>
      <c r="D20" s="32">
        <f>IFERROR(__xludf.DUMMYFUNCTION("""COMPUTED_VALUE"""),0.0)</f>
        <v>0</v>
      </c>
      <c r="E20" s="14">
        <f>IFERROR(__xludf.DUMMYFUNCTION("""COMPUTED_VALUE"""),0.0)</f>
        <v>0</v>
      </c>
      <c r="F20" s="33">
        <f>IFERROR(__xludf.DUMMYFUNCTION("""COMPUTED_VALUE"""),0.0)</f>
        <v>0</v>
      </c>
      <c r="G20" s="35">
        <f>IFERROR(__xludf.DUMMYFUNCTION("""COMPUTED_VALUE"""),0.0)</f>
        <v>0</v>
      </c>
      <c r="H20" s="1">
        <f>IFERROR(__xludf.DUMMYFUNCTION("""COMPUTED_VALUE"""),0.0)</f>
        <v>0</v>
      </c>
      <c r="I20" s="1">
        <f>IFERROR(__xludf.DUMMYFUNCTION("""COMPUTED_VALUE"""),0.0)</f>
        <v>0</v>
      </c>
      <c r="J20" s="37">
        <f>IFERROR(__xludf.DUMMYFUNCTION("""COMPUTED_VALUE"""),0.0)</f>
        <v>0</v>
      </c>
      <c r="K20" s="37">
        <f>IFERROR(__xludf.DUMMYFUNCTION("""COMPUTED_VALUE"""),0.0)</f>
        <v>0</v>
      </c>
      <c r="L20" s="37">
        <f>IFERROR(__xludf.DUMMYFUNCTION("""COMPUTED_VALUE"""),0.0)</f>
        <v>0</v>
      </c>
      <c r="M20" s="37">
        <f>IFERROR(__xludf.DUMMYFUNCTION("""COMPUTED_VALUE"""),0.0)</f>
        <v>0</v>
      </c>
      <c r="N20" s="32"/>
      <c r="O20" s="32"/>
      <c r="P20" s="50"/>
      <c r="Q20" s="37"/>
      <c r="R20" s="37"/>
      <c r="S20" s="37"/>
      <c r="T20" s="37"/>
      <c r="U20" s="37"/>
      <c r="V20" s="37"/>
      <c r="W20" s="37"/>
      <c r="X20" s="37" t="str">
        <f>IFERROR(__xludf.DUMMYFUNCTION("""COMPUTED_VALUE"""),"U00192026")</f>
        <v>U00192026</v>
      </c>
      <c r="Y20" s="37"/>
    </row>
    <row r="21">
      <c r="A21" s="25">
        <v>20.0</v>
      </c>
      <c r="B21" s="28" t="s">
        <v>74</v>
      </c>
      <c r="C21" s="31">
        <f>IFERROR(__xludf.DUMMYFUNCTION("""COMPUTED_VALUE"""),3.0)</f>
        <v>3</v>
      </c>
      <c r="D21" s="32">
        <f>IFERROR(__xludf.DUMMYFUNCTION("""COMPUTED_VALUE"""),2.6)</f>
        <v>2.6</v>
      </c>
      <c r="E21" s="14">
        <f>IFERROR(__xludf.DUMMYFUNCTION("""COMPUTED_VALUE"""),3.7)</f>
        <v>3.7</v>
      </c>
      <c r="F21" s="33">
        <f>IFERROR(__xludf.DUMMYFUNCTION("""COMPUTED_VALUE"""),4.8)</f>
        <v>4.8</v>
      </c>
      <c r="G21" s="35">
        <f>IFERROR(__xludf.DUMMYFUNCTION("""COMPUTED_VALUE"""),3.4)</f>
        <v>3.4</v>
      </c>
      <c r="H21" s="1">
        <f>IFERROR(__xludf.DUMMYFUNCTION("""COMPUTED_VALUE"""),3.8)</f>
        <v>3.8</v>
      </c>
      <c r="I21" s="1">
        <f>IFERROR(__xludf.DUMMYFUNCTION("""COMPUTED_VALUE"""),4.1)</f>
        <v>4.1</v>
      </c>
      <c r="J21" s="37">
        <f>IFERROR(__xludf.DUMMYFUNCTION("""COMPUTED_VALUE"""),3.5)</f>
        <v>3.5</v>
      </c>
      <c r="K21" s="37">
        <f>IFERROR(__xludf.DUMMYFUNCTION("""COMPUTED_VALUE"""),4.0)</f>
        <v>4</v>
      </c>
      <c r="L21" s="37">
        <f>IFERROR(__xludf.DUMMYFUNCTION("""COMPUTED_VALUE"""),3.0)</f>
        <v>3</v>
      </c>
      <c r="M21" s="37">
        <f>IFERROR(__xludf.DUMMYFUNCTION("""COMPUTED_VALUE"""),0.3)</f>
        <v>0.3</v>
      </c>
      <c r="N21" s="32">
        <f>IFERROR(__xludf.DUMMYFUNCTION("""COMPUTED_VALUE"""),4.5)</f>
        <v>4.5</v>
      </c>
      <c r="O21" s="32">
        <f>IFERROR(__xludf.DUMMYFUNCTION("""COMPUTED_VALUE"""),0.0)</f>
        <v>0</v>
      </c>
      <c r="P21" s="38">
        <f>IFERROR(__xludf.DUMMYFUNCTION("""COMPUTED_VALUE"""),3.1999999999999997)</f>
        <v>3.2</v>
      </c>
      <c r="Q21" s="37"/>
      <c r="R21" s="37">
        <f>IFERROR(__xludf.DUMMYFUNCTION("""COMPUTED_VALUE"""),4.5)</f>
        <v>4.5</v>
      </c>
      <c r="S21" s="37">
        <f>IFERROR(__xludf.DUMMYFUNCTION("""COMPUTED_VALUE"""),0.3)</f>
        <v>0.3</v>
      </c>
      <c r="T21" s="37">
        <f>IFERROR(__xludf.DUMMYFUNCTION("""COMPUTED_VALUE"""),4.8)</f>
        <v>4.8</v>
      </c>
      <c r="U21" s="37"/>
      <c r="V21" s="37">
        <f>IFERROR(__xludf.DUMMYFUNCTION("""COMPUTED_VALUE"""),2.0)</f>
        <v>2</v>
      </c>
      <c r="W21" s="37">
        <f>IFERROR(__xludf.DUMMYFUNCTION("""COMPUTED_VALUE"""),2.7)</f>
        <v>2.7</v>
      </c>
      <c r="X21" s="37" t="str">
        <f>IFERROR(__xludf.DUMMYFUNCTION("""COMPUTED_VALUE"""),"U00194326")</f>
        <v>U00194326</v>
      </c>
      <c r="Y21" s="37"/>
    </row>
    <row r="22">
      <c r="A22" s="25">
        <v>21.0</v>
      </c>
      <c r="B22" s="28" t="s">
        <v>75</v>
      </c>
      <c r="C22" s="31">
        <f>IFERROR(__xludf.DUMMYFUNCTION("""COMPUTED_VALUE"""),4.4)</f>
        <v>4.4</v>
      </c>
      <c r="D22" s="32">
        <f>IFERROR(__xludf.DUMMYFUNCTION("""COMPUTED_VALUE"""),5.0)</f>
        <v>5</v>
      </c>
      <c r="E22" s="14">
        <f>IFERROR(__xludf.DUMMYFUNCTION("""COMPUTED_VALUE"""),4.8)</f>
        <v>4.8</v>
      </c>
      <c r="F22" s="33">
        <f>IFERROR(__xludf.DUMMYFUNCTION("""COMPUTED_VALUE"""),5.0)</f>
        <v>5</v>
      </c>
      <c r="G22" s="35">
        <f>IFERROR(__xludf.DUMMYFUNCTION("""COMPUTED_VALUE"""),4.8)</f>
        <v>4.8</v>
      </c>
      <c r="H22" s="1">
        <f>IFERROR(__xludf.DUMMYFUNCTION("""COMPUTED_VALUE"""),4.0)</f>
        <v>4</v>
      </c>
      <c r="I22" s="1">
        <f>IFERROR(__xludf.DUMMYFUNCTION("""COMPUTED_VALUE"""),4.7)</f>
        <v>4.7</v>
      </c>
      <c r="J22" s="37">
        <f>IFERROR(__xludf.DUMMYFUNCTION("""COMPUTED_VALUE"""),4.5)</f>
        <v>4.5</v>
      </c>
      <c r="K22" s="37">
        <f>IFERROR(__xludf.DUMMYFUNCTION("""COMPUTED_VALUE"""),4.9)</f>
        <v>4.9</v>
      </c>
      <c r="L22" s="37">
        <f>IFERROR(__xludf.DUMMYFUNCTION("""COMPUTED_VALUE"""),5.0)</f>
        <v>5</v>
      </c>
      <c r="M22" s="37">
        <f>IFERROR(__xludf.DUMMYFUNCTION("""COMPUTED_VALUE"""),5.0)</f>
        <v>5</v>
      </c>
      <c r="N22" s="32">
        <f>IFERROR(__xludf.DUMMYFUNCTION("""COMPUTED_VALUE"""),4.7)</f>
        <v>4.7</v>
      </c>
      <c r="O22" s="32">
        <f>IFERROR(__xludf.DUMMYFUNCTION("""COMPUTED_VALUE"""),0.0)</f>
        <v>0</v>
      </c>
      <c r="P22" s="38">
        <f>IFERROR(__xludf.DUMMYFUNCTION("""COMPUTED_VALUE"""),4.8999999999999995)</f>
        <v>4.9</v>
      </c>
      <c r="Q22" s="37"/>
      <c r="R22" s="37">
        <f>IFERROR(__xludf.DUMMYFUNCTION("""COMPUTED_VALUE"""),4.8)</f>
        <v>4.8</v>
      </c>
      <c r="S22" s="37">
        <f>IFERROR(__xludf.DUMMYFUNCTION("""COMPUTED_VALUE"""),4.9)</f>
        <v>4.9</v>
      </c>
      <c r="T22" s="37">
        <f>IFERROR(__xludf.DUMMYFUNCTION("""COMPUTED_VALUE"""),5.0)</f>
        <v>5</v>
      </c>
      <c r="U22" s="37"/>
      <c r="V22" s="37">
        <f>IFERROR(__xludf.DUMMYFUNCTION("""COMPUTED_VALUE"""),2.4)</f>
        <v>2.4</v>
      </c>
      <c r="W22" s="37">
        <f>IFERROR(__xludf.DUMMYFUNCTION("""COMPUTED_VALUE"""),3.5999999999999996)</f>
        <v>3.6</v>
      </c>
      <c r="X22" s="37" t="str">
        <f>IFERROR(__xludf.DUMMYFUNCTION("""COMPUTED_VALUE"""),"U00193494")</f>
        <v>U00193494</v>
      </c>
      <c r="Y22" s="37"/>
    </row>
    <row r="23">
      <c r="A23" s="25">
        <v>22.0</v>
      </c>
      <c r="B23" s="28" t="s">
        <v>76</v>
      </c>
      <c r="C23" s="31">
        <f>IFERROR(__xludf.DUMMYFUNCTION("""COMPUTED_VALUE"""),1.5)</f>
        <v>1.5</v>
      </c>
      <c r="D23" s="32">
        <f>IFERROR(__xludf.DUMMYFUNCTION("""COMPUTED_VALUE"""),2.0)</f>
        <v>2</v>
      </c>
      <c r="E23" s="14">
        <f>IFERROR(__xludf.DUMMYFUNCTION("""COMPUTED_VALUE"""),2.5)</f>
        <v>2.5</v>
      </c>
      <c r="F23" s="33">
        <f>IFERROR(__xludf.DUMMYFUNCTION("""COMPUTED_VALUE"""),5.0)</f>
        <v>5</v>
      </c>
      <c r="G23" s="35">
        <f>IFERROR(__xludf.DUMMYFUNCTION("""COMPUTED_VALUE"""),2.6)</f>
        <v>2.6</v>
      </c>
      <c r="H23" s="1">
        <f>IFERROR(__xludf.DUMMYFUNCTION("""COMPUTED_VALUE"""),3.7)</f>
        <v>3.7</v>
      </c>
      <c r="I23" s="1">
        <f>IFERROR(__xludf.DUMMYFUNCTION("""COMPUTED_VALUE"""),0.0)</f>
        <v>0</v>
      </c>
      <c r="J23" s="37">
        <f>IFERROR(__xludf.DUMMYFUNCTION("""COMPUTED_VALUE"""),0.0)</f>
        <v>0</v>
      </c>
      <c r="K23" s="37">
        <f>IFERROR(__xludf.DUMMYFUNCTION("""COMPUTED_VALUE"""),4.3)</f>
        <v>4.3</v>
      </c>
      <c r="L23" s="37">
        <f>IFERROR(__xludf.DUMMYFUNCTION("""COMPUTED_VALUE"""),4.3)</f>
        <v>4.3</v>
      </c>
      <c r="M23" s="37">
        <f>IFERROR(__xludf.DUMMYFUNCTION("""COMPUTED_VALUE"""),0.0)</f>
        <v>0</v>
      </c>
      <c r="N23" s="32">
        <f>IFERROR(__xludf.DUMMYFUNCTION("""COMPUTED_VALUE"""),0.3)</f>
        <v>0.3</v>
      </c>
      <c r="O23" s="32">
        <f>IFERROR(__xludf.DUMMYFUNCTION("""COMPUTED_VALUE"""),0.0)</f>
        <v>0</v>
      </c>
      <c r="P23" s="38">
        <f>IFERROR(__xludf.DUMMYFUNCTION("""COMPUTED_VALUE"""),2.8000000000000003)</f>
        <v>2.8</v>
      </c>
      <c r="Q23" s="37"/>
      <c r="R23" s="37">
        <f>IFERROR(__xludf.DUMMYFUNCTION("""COMPUTED_VALUE"""),4.5)</f>
        <v>4.5</v>
      </c>
      <c r="S23" s="37">
        <f>IFERROR(__xludf.DUMMYFUNCTION("""COMPUTED_VALUE"""),3.9)</f>
        <v>3.9</v>
      </c>
      <c r="T23" s="37">
        <f>IFERROR(__xludf.DUMMYFUNCTION("""COMPUTED_VALUE"""),0.0)</f>
        <v>0</v>
      </c>
      <c r="U23" s="37"/>
      <c r="V23" s="37">
        <f>IFERROR(__xludf.DUMMYFUNCTION("""COMPUTED_VALUE"""),0.7)</f>
        <v>0.7</v>
      </c>
      <c r="W23" s="37">
        <f>IFERROR(__xludf.DUMMYFUNCTION("""COMPUTED_VALUE"""),1.65)</f>
        <v>1.65</v>
      </c>
      <c r="X23" s="37" t="str">
        <f>IFERROR(__xludf.DUMMYFUNCTION("""COMPUTED_VALUE"""),"U00192440")</f>
        <v>U00192440</v>
      </c>
      <c r="Y23" s="37"/>
    </row>
    <row r="24">
      <c r="A24" s="25">
        <v>23.0</v>
      </c>
      <c r="B24" s="28" t="s">
        <v>77</v>
      </c>
      <c r="C24" s="31">
        <f>IFERROR(__xludf.DUMMYFUNCTION("""COMPUTED_VALUE"""),3.3)</f>
        <v>3.3</v>
      </c>
      <c r="D24" s="32">
        <f>IFERROR(__xludf.DUMMYFUNCTION("""COMPUTED_VALUE"""),5.0)</f>
        <v>5</v>
      </c>
      <c r="E24" s="14">
        <f>IFERROR(__xludf.DUMMYFUNCTION("""COMPUTED_VALUE"""),4.8)</f>
        <v>4.8</v>
      </c>
      <c r="F24" s="33">
        <f>IFERROR(__xludf.DUMMYFUNCTION("""COMPUTED_VALUE"""),5.0)</f>
        <v>5</v>
      </c>
      <c r="G24" s="35">
        <f>IFERROR(__xludf.DUMMYFUNCTION("""COMPUTED_VALUE"""),4.5)</f>
        <v>4.5</v>
      </c>
      <c r="H24" s="1">
        <f>IFERROR(__xludf.DUMMYFUNCTION("""COMPUTED_VALUE"""),4.6)</f>
        <v>4.6</v>
      </c>
      <c r="I24" s="1">
        <f>IFERROR(__xludf.DUMMYFUNCTION("""COMPUTED_VALUE"""),5.0)</f>
        <v>5</v>
      </c>
      <c r="J24" s="37">
        <f>IFERROR(__xludf.DUMMYFUNCTION("""COMPUTED_VALUE"""),4.8)</f>
        <v>4.8</v>
      </c>
      <c r="K24" s="37">
        <f>IFERROR(__xludf.DUMMYFUNCTION("""COMPUTED_VALUE"""),4.8)</f>
        <v>4.8</v>
      </c>
      <c r="L24" s="37">
        <f>IFERROR(__xludf.DUMMYFUNCTION("""COMPUTED_VALUE"""),5.0)</f>
        <v>5</v>
      </c>
      <c r="M24" s="37">
        <f>IFERROR(__xludf.DUMMYFUNCTION("""COMPUTED_VALUE"""),4.4)</f>
        <v>4.4</v>
      </c>
      <c r="N24" s="32">
        <f>IFERROR(__xludf.DUMMYFUNCTION("""COMPUTED_VALUE"""),5.0)</f>
        <v>5</v>
      </c>
      <c r="O24" s="32">
        <f>IFERROR(__xludf.DUMMYFUNCTION("""COMPUTED_VALUE"""),0.0)</f>
        <v>0</v>
      </c>
      <c r="P24" s="38">
        <f>IFERROR(__xludf.DUMMYFUNCTION("""COMPUTED_VALUE"""),4.766666666666667)</f>
        <v>4.766666667</v>
      </c>
      <c r="Q24" s="37"/>
      <c r="R24" s="37">
        <f>IFERROR(__xludf.DUMMYFUNCTION("""COMPUTED_VALUE"""),4.5)</f>
        <v>4.5</v>
      </c>
      <c r="S24" s="37">
        <f>IFERROR(__xludf.DUMMYFUNCTION("""COMPUTED_VALUE"""),5.0)</f>
        <v>5</v>
      </c>
      <c r="T24" s="37">
        <f>IFERROR(__xludf.DUMMYFUNCTION("""COMPUTED_VALUE"""),4.8)</f>
        <v>4.8</v>
      </c>
      <c r="U24" s="37"/>
      <c r="V24" s="37">
        <f>IFERROR(__xludf.DUMMYFUNCTION("""COMPUTED_VALUE"""),2.5)</f>
        <v>2.5</v>
      </c>
      <c r="W24" s="37">
        <f>IFERROR(__xludf.DUMMYFUNCTION("""COMPUTED_VALUE"""),3.5)</f>
        <v>3.5</v>
      </c>
      <c r="X24" s="37" t="str">
        <f>IFERROR(__xludf.DUMMYFUNCTION("""COMPUTED_VALUE"""),"U00194687")</f>
        <v>U00194687</v>
      </c>
      <c r="Y24" s="37"/>
    </row>
    <row r="25">
      <c r="A25" s="25">
        <v>24.0</v>
      </c>
      <c r="B25" s="28" t="s">
        <v>78</v>
      </c>
      <c r="C25" s="31">
        <f>IFERROR(__xludf.DUMMYFUNCTION("""COMPUTED_VALUE"""),5.0)</f>
        <v>5</v>
      </c>
      <c r="D25" s="32">
        <f>IFERROR(__xludf.DUMMYFUNCTION("""COMPUTED_VALUE"""),4.3)</f>
        <v>4.3</v>
      </c>
      <c r="E25" s="14">
        <f>IFERROR(__xludf.DUMMYFUNCTION("""COMPUTED_VALUE"""),4.9)</f>
        <v>4.9</v>
      </c>
      <c r="F25" s="33">
        <f>IFERROR(__xludf.DUMMYFUNCTION("""COMPUTED_VALUE"""),5.0)</f>
        <v>5</v>
      </c>
      <c r="G25" s="35">
        <f>IFERROR(__xludf.DUMMYFUNCTION("""COMPUTED_VALUE"""),4.8)</f>
        <v>4.8</v>
      </c>
      <c r="H25" s="1">
        <f>IFERROR(__xludf.DUMMYFUNCTION("""COMPUTED_VALUE"""),4.5)</f>
        <v>4.5</v>
      </c>
      <c r="I25" s="1">
        <f>IFERROR(__xludf.DUMMYFUNCTION("""COMPUTED_VALUE"""),5.0)</f>
        <v>5</v>
      </c>
      <c r="J25" s="37">
        <f>IFERROR(__xludf.DUMMYFUNCTION("""COMPUTED_VALUE"""),4.8)</f>
        <v>4.8</v>
      </c>
      <c r="K25" s="37">
        <f>IFERROR(__xludf.DUMMYFUNCTION("""COMPUTED_VALUE"""),5.0)</f>
        <v>5</v>
      </c>
      <c r="L25" s="37">
        <f>IFERROR(__xludf.DUMMYFUNCTION("""COMPUTED_VALUE"""),5.0)</f>
        <v>5</v>
      </c>
      <c r="M25" s="37">
        <f>IFERROR(__xludf.DUMMYFUNCTION("""COMPUTED_VALUE"""),4.5)</f>
        <v>4.5</v>
      </c>
      <c r="N25" s="32">
        <f>IFERROR(__xludf.DUMMYFUNCTION("""COMPUTED_VALUE"""),4.2)</f>
        <v>4.2</v>
      </c>
      <c r="O25" s="32">
        <f>IFERROR(__xludf.DUMMYFUNCTION("""COMPUTED_VALUE"""),0.0)</f>
        <v>0</v>
      </c>
      <c r="P25" s="38">
        <f>IFERROR(__xludf.DUMMYFUNCTION("""COMPUTED_VALUE"""),4.933333333333334)</f>
        <v>4.933333333</v>
      </c>
      <c r="Q25" s="37"/>
      <c r="R25" s="37">
        <f>IFERROR(__xludf.DUMMYFUNCTION("""COMPUTED_VALUE"""),5.0)</f>
        <v>5</v>
      </c>
      <c r="S25" s="37">
        <f>IFERROR(__xludf.DUMMYFUNCTION("""COMPUTED_VALUE"""),4.8)</f>
        <v>4.8</v>
      </c>
      <c r="T25" s="37">
        <f>IFERROR(__xludf.DUMMYFUNCTION("""COMPUTED_VALUE"""),5.0)</f>
        <v>5</v>
      </c>
      <c r="U25" s="37"/>
      <c r="V25" s="37">
        <f>IFERROR(__xludf.DUMMYFUNCTION("""COMPUTED_VALUE"""),2.2)</f>
        <v>2.2</v>
      </c>
      <c r="W25" s="37">
        <f>IFERROR(__xludf.DUMMYFUNCTION("""COMPUTED_VALUE"""),3.5)</f>
        <v>3.5</v>
      </c>
      <c r="X25" s="37" t="str">
        <f>IFERROR(__xludf.DUMMYFUNCTION("""COMPUTED_VALUE"""),"U00192220")</f>
        <v>U00192220</v>
      </c>
      <c r="Y25" s="37"/>
    </row>
    <row r="26">
      <c r="C26" s="1"/>
      <c r="D26" s="37"/>
      <c r="E26" s="1"/>
      <c r="F26" s="37"/>
      <c r="G26" s="1"/>
      <c r="H26" s="1"/>
      <c r="I26" s="1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</row>
    <row r="27"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</row>
  </sheetData>
  <conditionalFormatting sqref="G2:G25">
    <cfRule type="cellIs" dxfId="0" priority="1" operator="greaterThanOrEqual">
      <formula>3</formula>
    </cfRule>
  </conditionalFormatting>
  <conditionalFormatting sqref="G2:G25">
    <cfRule type="cellIs" dxfId="1" priority="2" operator="between">
      <formula>2</formula>
      <formula>2.99</formula>
    </cfRule>
  </conditionalFormatting>
  <conditionalFormatting sqref="G2:G25">
    <cfRule type="cellIs" dxfId="2" priority="3" operator="lessThanOrEqual">
      <formula>2</formula>
    </cfRule>
  </conditionalFormatting>
  <conditionalFormatting sqref="V2:W25">
    <cfRule type="cellIs" dxfId="2" priority="4" operator="lessThan">
      <formula>2</formula>
    </cfRule>
  </conditionalFormatting>
  <conditionalFormatting sqref="V2:W25">
    <cfRule type="cellIs" dxfId="3" priority="5" operator="between">
      <formula>2</formula>
      <formula>2.99999</formula>
    </cfRule>
  </conditionalFormatting>
  <conditionalFormatting sqref="V2:W25">
    <cfRule type="cellIs" dxfId="0" priority="6" operator="greaterThanOrEqual">
      <formula>3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30.5"/>
    <col customWidth="1" min="3" max="23" width="5.13"/>
    <col customWidth="1" min="24" max="24" width="10.25"/>
    <col customWidth="1" min="25" max="25" width="5.13"/>
    <col customWidth="1" min="26" max="26" width="9.63"/>
    <col customWidth="1" min="27" max="27" width="6.5"/>
  </cols>
  <sheetData>
    <row r="1">
      <c r="A1" s="3" t="s">
        <v>0</v>
      </c>
      <c r="B1" s="3" t="s">
        <v>1</v>
      </c>
      <c r="C1" s="11" t="str">
        <f>IFERROR(__xludf.DUMMYFUNCTION("IMPORTRANGE(""1QvcJMsMaaauad-YqMjUGwOrUGvFFg3fViYyspGjIz6E"",""MAT2_C!C1:X13"")"),"P1")</f>
        <v>P1</v>
      </c>
      <c r="D1" s="11" t="str">
        <f>IFERROR(__xludf.DUMMYFUNCTION("""COMPUTED_VALUE"""),"P2")</f>
        <v>P2</v>
      </c>
      <c r="E1" s="14" t="str">
        <f>IFERROR(__xludf.DUMMYFUNCTION("""COMPUTED_VALUE"""),"PQT1")</f>
        <v>PQT1</v>
      </c>
      <c r="F1" s="14" t="str">
        <f>IFERROR(__xludf.DUMMYFUNCTION("""COMPUTED_VALUE"""),"PA1")</f>
        <v>PA1</v>
      </c>
      <c r="G1" s="18" t="str">
        <f>IFERROR(__xludf.DUMMYFUNCTION("""COMPUTED_VALUE"""),"1CTE")</f>
        <v>1CTE</v>
      </c>
      <c r="H1" s="11" t="str">
        <f>IFERROR(__xludf.DUMMYFUNCTION("""COMPUTED_VALUE"""),"Ta1")</f>
        <v>Ta1</v>
      </c>
      <c r="I1" s="11" t="str">
        <f>IFERROR(__xludf.DUMMYFUNCTION("""COMPUTED_VALUE"""),"Ta2")</f>
        <v>Ta2</v>
      </c>
      <c r="J1" s="11" t="str">
        <f>IFERROR(__xludf.DUMMYFUNCTION("""COMPUTED_VALUE"""),"Ta3")</f>
        <v>Ta3</v>
      </c>
      <c r="K1" s="11" t="str">
        <f>IFERROR(__xludf.DUMMYFUNCTION("""COMPUTED_VALUE"""),"Ta4")</f>
        <v>Ta4</v>
      </c>
      <c r="L1" s="11" t="str">
        <f>IFERROR(__xludf.DUMMYFUNCTION("""COMPUTED_VALUE"""),"Ta5")</f>
        <v>Ta5</v>
      </c>
      <c r="M1" s="11" t="str">
        <f>IFERROR(__xludf.DUMMYFUNCTION("""COMPUTED_VALUE"""),"Ta6")</f>
        <v>Ta6</v>
      </c>
      <c r="N1" s="23" t="str">
        <f>IFERROR(__xludf.DUMMYFUNCTION("""COMPUTED_VALUE"""),"P3")</f>
        <v>P3</v>
      </c>
      <c r="O1" s="23" t="str">
        <f>IFERROR(__xludf.DUMMYFUNCTION("""COMPUTED_VALUE"""),"P4")</f>
        <v>P4</v>
      </c>
      <c r="P1" s="27" t="str">
        <f>IFERROR(__xludf.DUMMYFUNCTION("""COMPUTED_VALUE"""),"PQT2")</f>
        <v>PQT2</v>
      </c>
      <c r="Q1" s="29" t="str">
        <f>IFERROR(__xludf.DUMMYFUNCTION("""COMPUTED_VALUE"""),"PA")</f>
        <v>PA</v>
      </c>
      <c r="R1" s="30" t="str">
        <f>IFERROR(__xludf.DUMMYFUNCTION("""COMPUTED_VALUE"""),"Ta7")</f>
        <v>Ta7</v>
      </c>
      <c r="S1" s="30" t="str">
        <f>IFERROR(__xludf.DUMMYFUNCTION("""COMPUTED_VALUE"""),"Ta8")</f>
        <v>Ta8</v>
      </c>
      <c r="T1" s="30" t="str">
        <f>IFERROR(__xludf.DUMMYFUNCTION("""COMPUTED_VALUE"""),"EXP")</f>
        <v>EXP</v>
      </c>
      <c r="U1" s="19" t="str">
        <f>IFERROR(__xludf.DUMMYFUNCTION("""COMPUTED_VALUE"""),"Ta9")</f>
        <v>Ta9</v>
      </c>
      <c r="V1" s="11" t="str">
        <f>IFERROR(__xludf.DUMMYFUNCTION("""COMPUTED_VALUE"""),"2CTE")</f>
        <v>2CTE</v>
      </c>
      <c r="W1" s="34" t="str">
        <f>IFERROR(__xludf.DUMMYFUNCTION("""COMPUTED_VALUE"""),"FINAL")</f>
        <v>FINAL</v>
      </c>
      <c r="X1" s="11" t="str">
        <f>IFERROR(__xludf.DUMMYFUNCTION("""COMPUTED_VALUE"""),"ID")</f>
        <v>ID</v>
      </c>
      <c r="Y1" s="11"/>
      <c r="Z1" s="36"/>
      <c r="AA1" s="36"/>
    </row>
    <row r="2">
      <c r="A2" s="25">
        <v>1.0</v>
      </c>
      <c r="B2" s="28" t="s">
        <v>4</v>
      </c>
      <c r="C2" s="31">
        <f>IFERROR(__xludf.DUMMYFUNCTION("""COMPUTED_VALUE"""),0.6)</f>
        <v>0.6</v>
      </c>
      <c r="D2" s="32">
        <f>IFERROR(__xludf.DUMMYFUNCTION("""COMPUTED_VALUE"""),1.9)</f>
        <v>1.9</v>
      </c>
      <c r="E2" s="14">
        <f>IFERROR(__xludf.DUMMYFUNCTION("""COMPUTED_VALUE"""),4.3)</f>
        <v>4.3</v>
      </c>
      <c r="F2" s="33">
        <f>IFERROR(__xludf.DUMMYFUNCTION("""COMPUTED_VALUE"""),4.8)</f>
        <v>4.8</v>
      </c>
      <c r="G2" s="35">
        <f>IFERROR(__xludf.DUMMYFUNCTION("""COMPUTED_VALUE"""),2.6)</f>
        <v>2.6</v>
      </c>
      <c r="H2" s="1">
        <f>IFERROR(__xludf.DUMMYFUNCTION("""COMPUTED_VALUE"""),0.0)</f>
        <v>0</v>
      </c>
      <c r="I2" s="1">
        <f>IFERROR(__xludf.DUMMYFUNCTION("""COMPUTED_VALUE"""),5.0)</f>
        <v>5</v>
      </c>
      <c r="J2" s="37">
        <f>IFERROR(__xludf.DUMMYFUNCTION("""COMPUTED_VALUE"""),4.8)</f>
        <v>4.8</v>
      </c>
      <c r="K2" s="37">
        <f>IFERROR(__xludf.DUMMYFUNCTION("""COMPUTED_VALUE"""),3.9)</f>
        <v>3.9</v>
      </c>
      <c r="L2" s="37">
        <f>IFERROR(__xludf.DUMMYFUNCTION("""COMPUTED_VALUE"""),3.8)</f>
        <v>3.8</v>
      </c>
      <c r="M2" s="37">
        <f>IFERROR(__xludf.DUMMYFUNCTION("""COMPUTED_VALUE"""),3.8)</f>
        <v>3.8</v>
      </c>
      <c r="N2" s="32">
        <f>IFERROR(__xludf.DUMMYFUNCTION("""COMPUTED_VALUE"""),3.4)</f>
        <v>3.4</v>
      </c>
      <c r="O2" s="32">
        <f>IFERROR(__xludf.DUMMYFUNCTION("""COMPUTED_VALUE"""),0.0)</f>
        <v>0</v>
      </c>
      <c r="P2" s="38">
        <f>IFERROR(__xludf.DUMMYFUNCTION("""COMPUTED_VALUE"""),3.766666666666667)</f>
        <v>3.766666667</v>
      </c>
      <c r="Q2" s="37"/>
      <c r="R2" s="37">
        <f>IFERROR(__xludf.DUMMYFUNCTION("""COMPUTED_VALUE"""),4.0)</f>
        <v>4</v>
      </c>
      <c r="S2" s="37">
        <f>IFERROR(__xludf.DUMMYFUNCTION("""COMPUTED_VALUE"""),2.5)</f>
        <v>2.5</v>
      </c>
      <c r="T2" s="37">
        <f>IFERROR(__xludf.DUMMYFUNCTION("""COMPUTED_VALUE"""),4.8)</f>
        <v>4.8</v>
      </c>
      <c r="U2" s="37"/>
      <c r="V2" s="37">
        <f>IFERROR(__xludf.DUMMYFUNCTION("""COMPUTED_VALUE"""),1.8)</f>
        <v>1.8</v>
      </c>
      <c r="W2" s="37">
        <f>IFERROR(__xludf.DUMMYFUNCTION("""COMPUTED_VALUE"""),2.2)</f>
        <v>2.2</v>
      </c>
      <c r="X2" s="37" t="str">
        <f>IFERROR(__xludf.DUMMYFUNCTION("""COMPUTED_VALUE"""),"U00194378")</f>
        <v>U00194378</v>
      </c>
      <c r="Y2" s="37"/>
    </row>
    <row r="3">
      <c r="A3" s="25">
        <v>2.0</v>
      </c>
      <c r="B3" s="28" t="s">
        <v>7</v>
      </c>
      <c r="C3" s="31">
        <f>IFERROR(__xludf.DUMMYFUNCTION("""COMPUTED_VALUE"""),2.7)</f>
        <v>2.7</v>
      </c>
      <c r="D3" s="32">
        <f>IFERROR(__xludf.DUMMYFUNCTION("""COMPUTED_VALUE"""),4.9)</f>
        <v>4.9</v>
      </c>
      <c r="E3" s="14">
        <f>IFERROR(__xludf.DUMMYFUNCTION("""COMPUTED_VALUE"""),3.5)</f>
        <v>3.5</v>
      </c>
      <c r="F3" s="33">
        <f>IFERROR(__xludf.DUMMYFUNCTION("""COMPUTED_VALUE"""),5.0)</f>
        <v>5</v>
      </c>
      <c r="G3" s="35">
        <f>IFERROR(__xludf.DUMMYFUNCTION("""COMPUTED_VALUE"""),4.0)</f>
        <v>4</v>
      </c>
      <c r="H3" s="1">
        <f>IFERROR(__xludf.DUMMYFUNCTION("""COMPUTED_VALUE"""),4.5)</f>
        <v>4.5</v>
      </c>
      <c r="I3" s="1">
        <f>IFERROR(__xludf.DUMMYFUNCTION("""COMPUTED_VALUE"""),0.0)</f>
        <v>0</v>
      </c>
      <c r="J3" s="37">
        <f>IFERROR(__xludf.DUMMYFUNCTION("""COMPUTED_VALUE"""),0.0)</f>
        <v>0</v>
      </c>
      <c r="K3" s="37">
        <f>IFERROR(__xludf.DUMMYFUNCTION("""COMPUTED_VALUE"""),4.5)</f>
        <v>4.5</v>
      </c>
      <c r="L3" s="37">
        <f>IFERROR(__xludf.DUMMYFUNCTION("""COMPUTED_VALUE"""),4.5)</f>
        <v>4.5</v>
      </c>
      <c r="M3" s="37">
        <f>IFERROR(__xludf.DUMMYFUNCTION("""COMPUTED_VALUE"""),4.0)</f>
        <v>4</v>
      </c>
      <c r="N3" s="32">
        <f>IFERROR(__xludf.DUMMYFUNCTION("""COMPUTED_VALUE"""),3.9)</f>
        <v>3.9</v>
      </c>
      <c r="O3" s="32">
        <f>IFERROR(__xludf.DUMMYFUNCTION("""COMPUTED_VALUE"""),0.0)</f>
        <v>0</v>
      </c>
      <c r="P3" s="38">
        <f>IFERROR(__xludf.DUMMYFUNCTION("""COMPUTED_VALUE"""),4.8999999999999995)</f>
        <v>4.9</v>
      </c>
      <c r="Q3" s="37"/>
      <c r="R3" s="37">
        <f>IFERROR(__xludf.DUMMYFUNCTION("""COMPUTED_VALUE"""),4.8)</f>
        <v>4.8</v>
      </c>
      <c r="S3" s="37">
        <f>IFERROR(__xludf.DUMMYFUNCTION("""COMPUTED_VALUE"""),4.9)</f>
        <v>4.9</v>
      </c>
      <c r="T3" s="37">
        <f>IFERROR(__xludf.DUMMYFUNCTION("""COMPUTED_VALUE"""),5.0)</f>
        <v>5</v>
      </c>
      <c r="U3" s="37"/>
      <c r="V3" s="37">
        <f>IFERROR(__xludf.DUMMYFUNCTION("""COMPUTED_VALUE"""),2.2)</f>
        <v>2.2</v>
      </c>
      <c r="W3" s="37">
        <f>IFERROR(__xludf.DUMMYFUNCTION("""COMPUTED_VALUE"""),3.1)</f>
        <v>3.1</v>
      </c>
      <c r="X3" s="37" t="str">
        <f>IFERROR(__xludf.DUMMYFUNCTION("""COMPUTED_VALUE"""),"U00194068")</f>
        <v>U00194068</v>
      </c>
      <c r="Y3" s="37"/>
    </row>
    <row r="4">
      <c r="A4" s="25">
        <v>3.0</v>
      </c>
      <c r="B4" s="28" t="s">
        <v>11</v>
      </c>
      <c r="C4" s="31">
        <f>IFERROR(__xludf.DUMMYFUNCTION("""COMPUTED_VALUE"""),2.5)</f>
        <v>2.5</v>
      </c>
      <c r="D4" s="32">
        <f>IFERROR(__xludf.DUMMYFUNCTION("""COMPUTED_VALUE"""),4.7)</f>
        <v>4.7</v>
      </c>
      <c r="E4" s="14">
        <f>IFERROR(__xludf.DUMMYFUNCTION("""COMPUTED_VALUE"""),4.8)</f>
        <v>4.8</v>
      </c>
      <c r="F4" s="33">
        <f>IFERROR(__xludf.DUMMYFUNCTION("""COMPUTED_VALUE"""),0.0)</f>
        <v>0</v>
      </c>
      <c r="G4" s="35">
        <f>IFERROR(__xludf.DUMMYFUNCTION("""COMPUTED_VALUE"""),3.1)</f>
        <v>3.1</v>
      </c>
      <c r="H4" s="1">
        <f>IFERROR(__xludf.DUMMYFUNCTION("""COMPUTED_VALUE"""),0.0)</f>
        <v>0</v>
      </c>
      <c r="I4" s="1">
        <f>IFERROR(__xludf.DUMMYFUNCTION("""COMPUTED_VALUE"""),5.0)</f>
        <v>5</v>
      </c>
      <c r="J4" s="37">
        <f>IFERROR(__xludf.DUMMYFUNCTION("""COMPUTED_VALUE"""),4.8)</f>
        <v>4.8</v>
      </c>
      <c r="K4" s="37">
        <f>IFERROR(__xludf.DUMMYFUNCTION("""COMPUTED_VALUE"""),4.8)</f>
        <v>4.8</v>
      </c>
      <c r="L4" s="37">
        <f>IFERROR(__xludf.DUMMYFUNCTION("""COMPUTED_VALUE"""),4.5)</f>
        <v>4.5</v>
      </c>
      <c r="M4" s="37">
        <f>IFERROR(__xludf.DUMMYFUNCTION("""COMPUTED_VALUE"""),4.9)</f>
        <v>4.9</v>
      </c>
      <c r="N4" s="32">
        <f>IFERROR(__xludf.DUMMYFUNCTION("""COMPUTED_VALUE"""),5.0)</f>
        <v>5</v>
      </c>
      <c r="O4" s="32">
        <f>IFERROR(__xludf.DUMMYFUNCTION("""COMPUTED_VALUE"""),0.0)</f>
        <v>0</v>
      </c>
      <c r="P4" s="38">
        <f>IFERROR(__xludf.DUMMYFUNCTION("""COMPUTED_VALUE"""),4.8999999999999995)</f>
        <v>4.9</v>
      </c>
      <c r="Q4" s="37"/>
      <c r="R4" s="37">
        <f>IFERROR(__xludf.DUMMYFUNCTION("""COMPUTED_VALUE"""),5.0)</f>
        <v>5</v>
      </c>
      <c r="S4" s="37">
        <f>IFERROR(__xludf.DUMMYFUNCTION("""COMPUTED_VALUE"""),5.0)</f>
        <v>5</v>
      </c>
      <c r="T4" s="37">
        <f>IFERROR(__xludf.DUMMYFUNCTION("""COMPUTED_VALUE"""),4.7)</f>
        <v>4.7</v>
      </c>
      <c r="U4" s="37"/>
      <c r="V4" s="37">
        <f>IFERROR(__xludf.DUMMYFUNCTION("""COMPUTED_VALUE"""),2.5)</f>
        <v>2.5</v>
      </c>
      <c r="W4" s="37">
        <f>IFERROR(__xludf.DUMMYFUNCTION("""COMPUTED_VALUE"""),2.8)</f>
        <v>2.8</v>
      </c>
      <c r="X4" s="37" t="str">
        <f>IFERROR(__xludf.DUMMYFUNCTION("""COMPUTED_VALUE"""),"U00190078")</f>
        <v>U00190078</v>
      </c>
      <c r="Y4" s="37"/>
    </row>
    <row r="5">
      <c r="A5" s="25">
        <v>4.0</v>
      </c>
      <c r="B5" s="28" t="s">
        <v>16</v>
      </c>
      <c r="C5" s="31">
        <f>IFERROR(__xludf.DUMMYFUNCTION("""COMPUTED_VALUE"""),4.0)</f>
        <v>4</v>
      </c>
      <c r="D5" s="32">
        <f>IFERROR(__xludf.DUMMYFUNCTION("""COMPUTED_VALUE"""),4.9)</f>
        <v>4.9</v>
      </c>
      <c r="E5" s="14">
        <f>IFERROR(__xludf.DUMMYFUNCTION("""COMPUTED_VALUE"""),3.7)</f>
        <v>3.7</v>
      </c>
      <c r="F5" s="33">
        <f>IFERROR(__xludf.DUMMYFUNCTION("""COMPUTED_VALUE"""),3.5)</f>
        <v>3.5</v>
      </c>
      <c r="G5" s="35">
        <f>IFERROR(__xludf.DUMMYFUNCTION("""COMPUTED_VALUE"""),4.1)</f>
        <v>4.1</v>
      </c>
      <c r="H5" s="1">
        <f>IFERROR(__xludf.DUMMYFUNCTION("""COMPUTED_VALUE"""),0.0)</f>
        <v>0</v>
      </c>
      <c r="I5" s="1">
        <f>IFERROR(__xludf.DUMMYFUNCTION("""COMPUTED_VALUE"""),4.6)</f>
        <v>4.6</v>
      </c>
      <c r="J5" s="37">
        <f>IFERROR(__xludf.DUMMYFUNCTION("""COMPUTED_VALUE"""),4.8)</f>
        <v>4.8</v>
      </c>
      <c r="K5" s="37">
        <f>IFERROR(__xludf.DUMMYFUNCTION("""COMPUTED_VALUE"""),0.0)</f>
        <v>0</v>
      </c>
      <c r="L5" s="37">
        <f>IFERROR(__xludf.DUMMYFUNCTION("""COMPUTED_VALUE"""),4.8)</f>
        <v>4.8</v>
      </c>
      <c r="M5" s="37">
        <f>IFERROR(__xludf.DUMMYFUNCTION("""COMPUTED_VALUE"""),4.5)</f>
        <v>4.5</v>
      </c>
      <c r="N5" s="32">
        <f>IFERROR(__xludf.DUMMYFUNCTION("""COMPUTED_VALUE"""),5.0)</f>
        <v>5</v>
      </c>
      <c r="O5" s="32">
        <f>IFERROR(__xludf.DUMMYFUNCTION("""COMPUTED_VALUE"""),0.0)</f>
        <v>0</v>
      </c>
      <c r="P5" s="38">
        <f>IFERROR(__xludf.DUMMYFUNCTION("""COMPUTED_VALUE"""),3.1)</f>
        <v>3.1</v>
      </c>
      <c r="Q5" s="37"/>
      <c r="R5" s="37">
        <f>IFERROR(__xludf.DUMMYFUNCTION("""COMPUTED_VALUE"""),0.0)</f>
        <v>0</v>
      </c>
      <c r="S5" s="37">
        <f>IFERROR(__xludf.DUMMYFUNCTION("""COMPUTED_VALUE"""),4.6)</f>
        <v>4.6</v>
      </c>
      <c r="T5" s="37">
        <f>IFERROR(__xludf.DUMMYFUNCTION("""COMPUTED_VALUE"""),4.7)</f>
        <v>4.7</v>
      </c>
      <c r="U5" s="37"/>
      <c r="V5" s="37">
        <f>IFERROR(__xludf.DUMMYFUNCTION("""COMPUTED_VALUE"""),2.1)</f>
        <v>2.1</v>
      </c>
      <c r="W5" s="37">
        <f>IFERROR(__xludf.DUMMYFUNCTION("""COMPUTED_VALUE"""),3.0999999999999996)</f>
        <v>3.1</v>
      </c>
      <c r="X5" s="37" t="str">
        <f>IFERROR(__xludf.DUMMYFUNCTION("""COMPUTED_VALUE"""),"U00194168")</f>
        <v>U00194168</v>
      </c>
      <c r="Y5" s="37"/>
    </row>
    <row r="6">
      <c r="A6" s="25">
        <v>5.0</v>
      </c>
      <c r="B6" s="28" t="s">
        <v>20</v>
      </c>
      <c r="C6" s="31">
        <f>IFERROR(__xludf.DUMMYFUNCTION("""COMPUTED_VALUE"""),4.0)</f>
        <v>4</v>
      </c>
      <c r="D6" s="32">
        <f>IFERROR(__xludf.DUMMYFUNCTION("""COMPUTED_VALUE"""),2.7)</f>
        <v>2.7</v>
      </c>
      <c r="E6" s="14">
        <f>IFERROR(__xludf.DUMMYFUNCTION("""COMPUTED_VALUE"""),4.9)</f>
        <v>4.9</v>
      </c>
      <c r="F6" s="33">
        <f>IFERROR(__xludf.DUMMYFUNCTION("""COMPUTED_VALUE"""),5.0)</f>
        <v>5</v>
      </c>
      <c r="G6" s="35">
        <f>IFERROR(__xludf.DUMMYFUNCTION("""COMPUTED_VALUE"""),4.0)</f>
        <v>4</v>
      </c>
      <c r="H6" s="1">
        <f>IFERROR(__xludf.DUMMYFUNCTION("""COMPUTED_VALUE"""),4.8)</f>
        <v>4.8</v>
      </c>
      <c r="I6" s="1">
        <f>IFERROR(__xludf.DUMMYFUNCTION("""COMPUTED_VALUE"""),4.6)</f>
        <v>4.6</v>
      </c>
      <c r="J6" s="37">
        <f>IFERROR(__xludf.DUMMYFUNCTION("""COMPUTED_VALUE"""),5.0)</f>
        <v>5</v>
      </c>
      <c r="K6" s="37">
        <f>IFERROR(__xludf.DUMMYFUNCTION("""COMPUTED_VALUE"""),5.0)</f>
        <v>5</v>
      </c>
      <c r="L6" s="37">
        <f>IFERROR(__xludf.DUMMYFUNCTION("""COMPUTED_VALUE"""),4.6)</f>
        <v>4.6</v>
      </c>
      <c r="M6" s="37">
        <f>IFERROR(__xludf.DUMMYFUNCTION("""COMPUTED_VALUE"""),5.0)</f>
        <v>5</v>
      </c>
      <c r="N6" s="32">
        <f>IFERROR(__xludf.DUMMYFUNCTION("""COMPUTED_VALUE"""),3.6)</f>
        <v>3.6</v>
      </c>
      <c r="O6" s="32">
        <f>IFERROR(__xludf.DUMMYFUNCTION("""COMPUTED_VALUE"""),0.0)</f>
        <v>0</v>
      </c>
      <c r="P6" s="38">
        <f>IFERROR(__xludf.DUMMYFUNCTION("""COMPUTED_VALUE"""),4.7)</f>
        <v>4.7</v>
      </c>
      <c r="Q6" s="37"/>
      <c r="R6" s="37">
        <f>IFERROR(__xludf.DUMMYFUNCTION("""COMPUTED_VALUE"""),4.3)</f>
        <v>4.3</v>
      </c>
      <c r="S6" s="37">
        <f>IFERROR(__xludf.DUMMYFUNCTION("""COMPUTED_VALUE"""),4.8)</f>
        <v>4.8</v>
      </c>
      <c r="T6" s="37">
        <f>IFERROR(__xludf.DUMMYFUNCTION("""COMPUTED_VALUE"""),5.0)</f>
        <v>5</v>
      </c>
      <c r="U6" s="37"/>
      <c r="V6" s="37">
        <f>IFERROR(__xludf.DUMMYFUNCTION("""COMPUTED_VALUE"""),2.0)</f>
        <v>2</v>
      </c>
      <c r="W6" s="37">
        <f>IFERROR(__xludf.DUMMYFUNCTION("""COMPUTED_VALUE"""),3.0)</f>
        <v>3</v>
      </c>
      <c r="X6" s="37" t="str">
        <f>IFERROR(__xludf.DUMMYFUNCTION("""COMPUTED_VALUE"""),"U00194233")</f>
        <v>U00194233</v>
      </c>
      <c r="Y6" s="37"/>
    </row>
    <row r="7">
      <c r="A7" s="25">
        <v>6.0</v>
      </c>
      <c r="B7" s="28" t="s">
        <v>25</v>
      </c>
      <c r="C7" s="31">
        <f>IFERROR(__xludf.DUMMYFUNCTION("""COMPUTED_VALUE"""),5.0)</f>
        <v>5</v>
      </c>
      <c r="D7" s="32">
        <f>IFERROR(__xludf.DUMMYFUNCTION("""COMPUTED_VALUE"""),5.0)</f>
        <v>5</v>
      </c>
      <c r="E7" s="14">
        <f>IFERROR(__xludf.DUMMYFUNCTION("""COMPUTED_VALUE"""),4.6)</f>
        <v>4.6</v>
      </c>
      <c r="F7" s="33">
        <f>IFERROR(__xludf.DUMMYFUNCTION("""COMPUTED_VALUE"""),4.8)</f>
        <v>4.8</v>
      </c>
      <c r="G7" s="35">
        <f>IFERROR(__xludf.DUMMYFUNCTION("""COMPUTED_VALUE"""),4.9)</f>
        <v>4.9</v>
      </c>
      <c r="H7" s="1">
        <f>IFERROR(__xludf.DUMMYFUNCTION("""COMPUTED_VALUE"""),4.8)</f>
        <v>4.8</v>
      </c>
      <c r="I7" s="1">
        <f>IFERROR(__xludf.DUMMYFUNCTION("""COMPUTED_VALUE"""),4.8)</f>
        <v>4.8</v>
      </c>
      <c r="J7" s="37">
        <f>IFERROR(__xludf.DUMMYFUNCTION("""COMPUTED_VALUE"""),4.8)</f>
        <v>4.8</v>
      </c>
      <c r="K7" s="37">
        <f>IFERROR(__xludf.DUMMYFUNCTION("""COMPUTED_VALUE"""),0.0)</f>
        <v>0</v>
      </c>
      <c r="L7" s="37">
        <f>IFERROR(__xludf.DUMMYFUNCTION("""COMPUTED_VALUE"""),4.8)</f>
        <v>4.8</v>
      </c>
      <c r="M7" s="37">
        <f>IFERROR(__xludf.DUMMYFUNCTION("""COMPUTED_VALUE"""),4.0)</f>
        <v>4</v>
      </c>
      <c r="N7" s="32">
        <f>IFERROR(__xludf.DUMMYFUNCTION("""COMPUTED_VALUE"""),4.5)</f>
        <v>4.5</v>
      </c>
      <c r="O7" s="32">
        <f>IFERROR(__xludf.DUMMYFUNCTION("""COMPUTED_VALUE"""),0.0)</f>
        <v>0</v>
      </c>
      <c r="P7" s="38">
        <f>IFERROR(__xludf.DUMMYFUNCTION("""COMPUTED_VALUE"""),4.466666666666666)</f>
        <v>4.466666667</v>
      </c>
      <c r="Q7" s="37"/>
      <c r="R7" s="37">
        <f>IFERROR(__xludf.DUMMYFUNCTION("""COMPUTED_VALUE"""),4.5)</f>
        <v>4.5</v>
      </c>
      <c r="S7" s="37">
        <f>IFERROR(__xludf.DUMMYFUNCTION("""COMPUTED_VALUE"""),4.1)</f>
        <v>4.1</v>
      </c>
      <c r="T7" s="37">
        <f>IFERROR(__xludf.DUMMYFUNCTION("""COMPUTED_VALUE"""),4.8)</f>
        <v>4.8</v>
      </c>
      <c r="U7" s="37"/>
      <c r="V7" s="37">
        <f>IFERROR(__xludf.DUMMYFUNCTION("""COMPUTED_VALUE"""),2.2)</f>
        <v>2.2</v>
      </c>
      <c r="W7" s="37">
        <f>IFERROR(__xludf.DUMMYFUNCTION("""COMPUTED_VALUE"""),3.5500000000000003)</f>
        <v>3.55</v>
      </c>
      <c r="X7" s="37" t="str">
        <f>IFERROR(__xludf.DUMMYFUNCTION("""COMPUTED_VALUE"""),"U00194317")</f>
        <v>U00194317</v>
      </c>
      <c r="Y7" s="37"/>
    </row>
    <row r="8">
      <c r="A8" s="25">
        <v>7.0</v>
      </c>
      <c r="B8" s="28" t="s">
        <v>29</v>
      </c>
      <c r="C8" s="31">
        <f>IFERROR(__xludf.DUMMYFUNCTION("""COMPUTED_VALUE"""),4.6)</f>
        <v>4.6</v>
      </c>
      <c r="D8" s="32">
        <f>IFERROR(__xludf.DUMMYFUNCTION("""COMPUTED_VALUE"""),2.2)</f>
        <v>2.2</v>
      </c>
      <c r="E8" s="14">
        <f>IFERROR(__xludf.DUMMYFUNCTION("""COMPUTED_VALUE"""),4.9)</f>
        <v>4.9</v>
      </c>
      <c r="F8" s="33">
        <f>IFERROR(__xludf.DUMMYFUNCTION("""COMPUTED_VALUE"""),4.8)</f>
        <v>4.8</v>
      </c>
      <c r="G8" s="35">
        <f>IFERROR(__xludf.DUMMYFUNCTION("""COMPUTED_VALUE"""),4.0)</f>
        <v>4</v>
      </c>
      <c r="H8" s="1">
        <f>IFERROR(__xludf.DUMMYFUNCTION("""COMPUTED_VALUE"""),4.5)</f>
        <v>4.5</v>
      </c>
      <c r="I8" s="1">
        <f>IFERROR(__xludf.DUMMYFUNCTION("""COMPUTED_VALUE"""),5.0)</f>
        <v>5</v>
      </c>
      <c r="J8" s="37">
        <f>IFERROR(__xludf.DUMMYFUNCTION("""COMPUTED_VALUE"""),4.3)</f>
        <v>4.3</v>
      </c>
      <c r="K8" s="37">
        <f>IFERROR(__xludf.DUMMYFUNCTION("""COMPUTED_VALUE"""),4.8)</f>
        <v>4.8</v>
      </c>
      <c r="L8" s="37">
        <f>IFERROR(__xludf.DUMMYFUNCTION("""COMPUTED_VALUE"""),5.0)</f>
        <v>5</v>
      </c>
      <c r="M8" s="37">
        <f>IFERROR(__xludf.DUMMYFUNCTION("""COMPUTED_VALUE"""),5.0)</f>
        <v>5</v>
      </c>
      <c r="N8" s="32">
        <f>IFERROR(__xludf.DUMMYFUNCTION("""COMPUTED_VALUE"""),4.4)</f>
        <v>4.4</v>
      </c>
      <c r="O8" s="32">
        <f>IFERROR(__xludf.DUMMYFUNCTION("""COMPUTED_VALUE"""),0.0)</f>
        <v>0</v>
      </c>
      <c r="P8" s="38">
        <f>IFERROR(__xludf.DUMMYFUNCTION("""COMPUTED_VALUE"""),4.633333333333333)</f>
        <v>4.633333333</v>
      </c>
      <c r="Q8" s="37"/>
      <c r="R8" s="37">
        <f>IFERROR(__xludf.DUMMYFUNCTION("""COMPUTED_VALUE"""),4.8)</f>
        <v>4.8</v>
      </c>
      <c r="S8" s="37">
        <f>IFERROR(__xludf.DUMMYFUNCTION("""COMPUTED_VALUE"""),4.3)</f>
        <v>4.3</v>
      </c>
      <c r="T8" s="37">
        <f>IFERROR(__xludf.DUMMYFUNCTION("""COMPUTED_VALUE"""),4.8)</f>
        <v>4.8</v>
      </c>
      <c r="U8" s="37"/>
      <c r="V8" s="37">
        <f>IFERROR(__xludf.DUMMYFUNCTION("""COMPUTED_VALUE"""),2.2)</f>
        <v>2.2</v>
      </c>
      <c r="W8" s="37">
        <f>IFERROR(__xludf.DUMMYFUNCTION("""COMPUTED_VALUE"""),3.1)</f>
        <v>3.1</v>
      </c>
      <c r="X8" s="37" t="str">
        <f>IFERROR(__xludf.DUMMYFUNCTION("""COMPUTED_VALUE"""),"U00186516")</f>
        <v>U00186516</v>
      </c>
      <c r="Y8" s="37"/>
    </row>
    <row r="9">
      <c r="A9" s="25">
        <v>8.0</v>
      </c>
      <c r="B9" s="28" t="s">
        <v>32</v>
      </c>
      <c r="C9" s="31">
        <f>IFERROR(__xludf.DUMMYFUNCTION("""COMPUTED_VALUE"""),0.1)</f>
        <v>0.1</v>
      </c>
      <c r="D9" s="32">
        <f>IFERROR(__xludf.DUMMYFUNCTION("""COMPUTED_VALUE"""),0.0)</f>
        <v>0</v>
      </c>
      <c r="E9" s="14">
        <f>IFERROR(__xludf.DUMMYFUNCTION("""COMPUTED_VALUE"""),0.0)</f>
        <v>0</v>
      </c>
      <c r="F9" s="33">
        <f>IFERROR(__xludf.DUMMYFUNCTION("""COMPUTED_VALUE"""),0.0)</f>
        <v>0</v>
      </c>
      <c r="G9" s="35">
        <f>IFERROR(__xludf.DUMMYFUNCTION("""COMPUTED_VALUE"""),0.0)</f>
        <v>0</v>
      </c>
      <c r="H9" s="1">
        <f>IFERROR(__xludf.DUMMYFUNCTION("""COMPUTED_VALUE"""),0.0)</f>
        <v>0</v>
      </c>
      <c r="I9" s="1">
        <f>IFERROR(__xludf.DUMMYFUNCTION("""COMPUTED_VALUE"""),0.0)</f>
        <v>0</v>
      </c>
      <c r="J9" s="37">
        <f>IFERROR(__xludf.DUMMYFUNCTION("""COMPUTED_VALUE"""),0.0)</f>
        <v>0</v>
      </c>
      <c r="K9" s="37">
        <f>IFERROR(__xludf.DUMMYFUNCTION("""COMPUTED_VALUE"""),0.0)</f>
        <v>0</v>
      </c>
      <c r="L9" s="37">
        <f>IFERROR(__xludf.DUMMYFUNCTION("""COMPUTED_VALUE"""),0.0)</f>
        <v>0</v>
      </c>
      <c r="M9" s="37">
        <f>IFERROR(__xludf.DUMMYFUNCTION("""COMPUTED_VALUE"""),0.0)</f>
        <v>0</v>
      </c>
      <c r="N9" s="32"/>
      <c r="O9" s="32"/>
      <c r="P9" s="50"/>
      <c r="Q9" s="37"/>
      <c r="R9" s="37"/>
      <c r="S9" s="37"/>
      <c r="T9" s="37"/>
      <c r="U9" s="37"/>
      <c r="V9" s="37"/>
      <c r="W9" s="37"/>
      <c r="X9" s="37" t="str">
        <f>IFERROR(__xludf.DUMMYFUNCTION("""COMPUTED_VALUE"""),"U00190907")</f>
        <v>U00190907</v>
      </c>
      <c r="Y9" s="37"/>
    </row>
    <row r="10">
      <c r="A10" s="25">
        <v>9.0</v>
      </c>
      <c r="B10" s="28" t="s">
        <v>35</v>
      </c>
      <c r="C10" s="31">
        <f>IFERROR(__xludf.DUMMYFUNCTION("""COMPUTED_VALUE"""),1.8)</f>
        <v>1.8</v>
      </c>
      <c r="D10" s="32">
        <f>IFERROR(__xludf.DUMMYFUNCTION("""COMPUTED_VALUE"""),1.3)</f>
        <v>1.3</v>
      </c>
      <c r="E10" s="14">
        <f>IFERROR(__xludf.DUMMYFUNCTION("""COMPUTED_VALUE"""),3.8)</f>
        <v>3.8</v>
      </c>
      <c r="F10" s="33">
        <f>IFERROR(__xludf.DUMMYFUNCTION("""COMPUTED_VALUE"""),5.0)</f>
        <v>5</v>
      </c>
      <c r="G10" s="35">
        <f>IFERROR(__xludf.DUMMYFUNCTION("""COMPUTED_VALUE"""),2.7)</f>
        <v>2.7</v>
      </c>
      <c r="H10" s="1">
        <f>IFERROR(__xludf.DUMMYFUNCTION("""COMPUTED_VALUE"""),4.8)</f>
        <v>4.8</v>
      </c>
      <c r="I10" s="1">
        <f>IFERROR(__xludf.DUMMYFUNCTION("""COMPUTED_VALUE"""),0.0)</f>
        <v>0</v>
      </c>
      <c r="J10" s="37">
        <f>IFERROR(__xludf.DUMMYFUNCTION("""COMPUTED_VALUE"""),0.0)</f>
        <v>0</v>
      </c>
      <c r="K10" s="37">
        <f>IFERROR(__xludf.DUMMYFUNCTION("""COMPUTED_VALUE"""),4.5)</f>
        <v>4.5</v>
      </c>
      <c r="L10" s="37">
        <f>IFERROR(__xludf.DUMMYFUNCTION("""COMPUTED_VALUE"""),5.0)</f>
        <v>5</v>
      </c>
      <c r="M10" s="37">
        <f>IFERROR(__xludf.DUMMYFUNCTION("""COMPUTED_VALUE"""),4.8)</f>
        <v>4.8</v>
      </c>
      <c r="N10" s="32">
        <f>IFERROR(__xludf.DUMMYFUNCTION("""COMPUTED_VALUE"""),4.2)</f>
        <v>4.2</v>
      </c>
      <c r="O10" s="32">
        <f>IFERROR(__xludf.DUMMYFUNCTION("""COMPUTED_VALUE"""),0.0)</f>
        <v>0</v>
      </c>
      <c r="P10" s="38">
        <f>IFERROR(__xludf.DUMMYFUNCTION("""COMPUTED_VALUE"""),4.766666666666667)</f>
        <v>4.766666667</v>
      </c>
      <c r="Q10" s="37"/>
      <c r="R10" s="37">
        <f>IFERROR(__xludf.DUMMYFUNCTION("""COMPUTED_VALUE"""),4.8)</f>
        <v>4.8</v>
      </c>
      <c r="S10" s="37">
        <f>IFERROR(__xludf.DUMMYFUNCTION("""COMPUTED_VALUE"""),4.5)</f>
        <v>4.5</v>
      </c>
      <c r="T10" s="37">
        <f>IFERROR(__xludf.DUMMYFUNCTION("""COMPUTED_VALUE"""),5.0)</f>
        <v>5</v>
      </c>
      <c r="U10" s="37"/>
      <c r="V10" s="37">
        <f>IFERROR(__xludf.DUMMYFUNCTION("""COMPUTED_VALUE"""),2.2)</f>
        <v>2.2</v>
      </c>
      <c r="W10" s="37">
        <f>IFERROR(__xludf.DUMMYFUNCTION("""COMPUTED_VALUE"""),2.45)</f>
        <v>2.45</v>
      </c>
      <c r="X10" s="37" t="str">
        <f>IFERROR(__xludf.DUMMYFUNCTION("""COMPUTED_VALUE"""),"U00194534")</f>
        <v>U00194534</v>
      </c>
      <c r="Y10" s="37"/>
    </row>
    <row r="11">
      <c r="A11" s="25">
        <v>10.0</v>
      </c>
      <c r="B11" s="28" t="s">
        <v>38</v>
      </c>
      <c r="C11" s="31">
        <f>IFERROR(__xludf.DUMMYFUNCTION("""COMPUTED_VALUE"""),3.8)</f>
        <v>3.8</v>
      </c>
      <c r="D11" s="32">
        <f>IFERROR(__xludf.DUMMYFUNCTION("""COMPUTED_VALUE"""),3.3)</f>
        <v>3.3</v>
      </c>
      <c r="E11" s="14">
        <f>IFERROR(__xludf.DUMMYFUNCTION("""COMPUTED_VALUE"""),4.5)</f>
        <v>4.5</v>
      </c>
      <c r="F11" s="33">
        <f>IFERROR(__xludf.DUMMYFUNCTION("""COMPUTED_VALUE"""),4.5)</f>
        <v>4.5</v>
      </c>
      <c r="G11" s="35">
        <f>IFERROR(__xludf.DUMMYFUNCTION("""COMPUTED_VALUE"""),3.9)</f>
        <v>3.9</v>
      </c>
      <c r="H11" s="1">
        <f>IFERROR(__xludf.DUMMYFUNCTION("""COMPUTED_VALUE"""),5.0)</f>
        <v>5</v>
      </c>
      <c r="I11" s="1">
        <f>IFERROR(__xludf.DUMMYFUNCTION("""COMPUTED_VALUE"""),4.9)</f>
        <v>4.9</v>
      </c>
      <c r="J11" s="37">
        <f>IFERROR(__xludf.DUMMYFUNCTION("""COMPUTED_VALUE"""),4.3)</f>
        <v>4.3</v>
      </c>
      <c r="K11" s="37">
        <f>IFERROR(__xludf.DUMMYFUNCTION("""COMPUTED_VALUE"""),3.3)</f>
        <v>3.3</v>
      </c>
      <c r="L11" s="37">
        <f>IFERROR(__xludf.DUMMYFUNCTION("""COMPUTED_VALUE"""),4.0)</f>
        <v>4</v>
      </c>
      <c r="M11" s="37">
        <f>IFERROR(__xludf.DUMMYFUNCTION("""COMPUTED_VALUE"""),4.3)</f>
        <v>4.3</v>
      </c>
      <c r="N11" s="32">
        <f>IFERROR(__xludf.DUMMYFUNCTION("""COMPUTED_VALUE"""),3.5)</f>
        <v>3.5</v>
      </c>
      <c r="O11" s="32">
        <f>IFERROR(__xludf.DUMMYFUNCTION("""COMPUTED_VALUE"""),0.0)</f>
        <v>0</v>
      </c>
      <c r="P11" s="38">
        <f>IFERROR(__xludf.DUMMYFUNCTION("""COMPUTED_VALUE"""),4.266666666666667)</f>
        <v>4.266666667</v>
      </c>
      <c r="Q11" s="37"/>
      <c r="R11" s="37">
        <f>IFERROR(__xludf.DUMMYFUNCTION("""COMPUTED_VALUE"""),4.5)</f>
        <v>4.5</v>
      </c>
      <c r="S11" s="37">
        <f>IFERROR(__xludf.DUMMYFUNCTION("""COMPUTED_VALUE"""),3.4)</f>
        <v>3.4</v>
      </c>
      <c r="T11" s="37">
        <f>IFERROR(__xludf.DUMMYFUNCTION("""COMPUTED_VALUE"""),4.9)</f>
        <v>4.9</v>
      </c>
      <c r="U11" s="37"/>
      <c r="V11" s="37">
        <f>IFERROR(__xludf.DUMMYFUNCTION("""COMPUTED_VALUE"""),1.9)</f>
        <v>1.9</v>
      </c>
      <c r="W11" s="37">
        <f>IFERROR(__xludf.DUMMYFUNCTION("""COMPUTED_VALUE"""),2.9)</f>
        <v>2.9</v>
      </c>
      <c r="X11" s="37" t="str">
        <f>IFERROR(__xludf.DUMMYFUNCTION("""COMPUTED_VALUE"""),"U00195326")</f>
        <v>U00195326</v>
      </c>
      <c r="Y11" s="37"/>
    </row>
    <row r="12">
      <c r="A12" s="25">
        <v>11.0</v>
      </c>
      <c r="B12" s="28" t="s">
        <v>42</v>
      </c>
      <c r="C12" s="31">
        <f>IFERROR(__xludf.DUMMYFUNCTION("""COMPUTED_VALUE"""),4.3)</f>
        <v>4.3</v>
      </c>
      <c r="D12" s="32">
        <f>IFERROR(__xludf.DUMMYFUNCTION("""COMPUTED_VALUE"""),3.0)</f>
        <v>3</v>
      </c>
      <c r="E12" s="14">
        <f>IFERROR(__xludf.DUMMYFUNCTION("""COMPUTED_VALUE"""),2.5)</f>
        <v>2.5</v>
      </c>
      <c r="F12" s="33">
        <f>IFERROR(__xludf.DUMMYFUNCTION("""COMPUTED_VALUE"""),5.0)</f>
        <v>5</v>
      </c>
      <c r="G12" s="35">
        <f>IFERROR(__xludf.DUMMYFUNCTION("""COMPUTED_VALUE"""),3.7)</f>
        <v>3.7</v>
      </c>
      <c r="H12" s="1">
        <f>IFERROR(__xludf.DUMMYFUNCTION("""COMPUTED_VALUE"""),3.6)</f>
        <v>3.6</v>
      </c>
      <c r="I12" s="1">
        <f>IFERROR(__xludf.DUMMYFUNCTION("""COMPUTED_VALUE"""),0.0)</f>
        <v>0</v>
      </c>
      <c r="J12" s="37">
        <f>IFERROR(__xludf.DUMMYFUNCTION("""COMPUTED_VALUE"""),4.8)</f>
        <v>4.8</v>
      </c>
      <c r="K12" s="37">
        <f>IFERROR(__xludf.DUMMYFUNCTION("""COMPUTED_VALUE"""),0.0)</f>
        <v>0</v>
      </c>
      <c r="L12" s="37">
        <f>IFERROR(__xludf.DUMMYFUNCTION("""COMPUTED_VALUE"""),4.0)</f>
        <v>4</v>
      </c>
      <c r="M12" s="37">
        <f>IFERROR(__xludf.DUMMYFUNCTION("""COMPUTED_VALUE"""),0.0)</f>
        <v>0</v>
      </c>
      <c r="N12" s="32">
        <f>IFERROR(__xludf.DUMMYFUNCTION("""COMPUTED_VALUE"""),3.2)</f>
        <v>3.2</v>
      </c>
      <c r="O12" s="32">
        <f>IFERROR(__xludf.DUMMYFUNCTION("""COMPUTED_VALUE"""),0.0)</f>
        <v>0</v>
      </c>
      <c r="P12" s="38">
        <f>IFERROR(__xludf.DUMMYFUNCTION("""COMPUTED_VALUE"""),0.0)</f>
        <v>0</v>
      </c>
      <c r="Q12" s="37"/>
      <c r="R12" s="37">
        <f>IFERROR(__xludf.DUMMYFUNCTION("""COMPUTED_VALUE"""),0.0)</f>
        <v>0</v>
      </c>
      <c r="S12" s="37">
        <f>IFERROR(__xludf.DUMMYFUNCTION("""COMPUTED_VALUE"""),0.0)</f>
        <v>0</v>
      </c>
      <c r="T12" s="37">
        <f>IFERROR(__xludf.DUMMYFUNCTION("""COMPUTED_VALUE"""),0.0)</f>
        <v>0</v>
      </c>
      <c r="U12" s="37"/>
      <c r="V12" s="37">
        <f>IFERROR(__xludf.DUMMYFUNCTION("""COMPUTED_VALUE"""),1.0)</f>
        <v>1</v>
      </c>
      <c r="W12" s="37">
        <f>IFERROR(__xludf.DUMMYFUNCTION("""COMPUTED_VALUE"""),2.35)</f>
        <v>2.35</v>
      </c>
      <c r="X12" s="37" t="str">
        <f>IFERROR(__xludf.DUMMYFUNCTION("""COMPUTED_VALUE"""),"U00183134")</f>
        <v>U00183134</v>
      </c>
      <c r="Y12" s="37"/>
    </row>
    <row r="13">
      <c r="A13" s="25">
        <v>12.0</v>
      </c>
      <c r="B13" s="28" t="s">
        <v>46</v>
      </c>
      <c r="C13" s="31">
        <f>IFERROR(__xludf.DUMMYFUNCTION("""COMPUTED_VALUE"""),4.1)</f>
        <v>4.1</v>
      </c>
      <c r="D13" s="32">
        <f>IFERROR(__xludf.DUMMYFUNCTION("""COMPUTED_VALUE"""),3.0)</f>
        <v>3</v>
      </c>
      <c r="E13" s="14">
        <f>IFERROR(__xludf.DUMMYFUNCTION("""COMPUTED_VALUE"""),4.9)</f>
        <v>4.9</v>
      </c>
      <c r="F13" s="33">
        <f>IFERROR(__xludf.DUMMYFUNCTION("""COMPUTED_VALUE"""),4.8)</f>
        <v>4.8</v>
      </c>
      <c r="G13" s="35">
        <f>IFERROR(__xludf.DUMMYFUNCTION("""COMPUTED_VALUE"""),4.1)</f>
        <v>4.1</v>
      </c>
      <c r="H13" s="1">
        <f>IFERROR(__xludf.DUMMYFUNCTION("""COMPUTED_VALUE"""),4.8)</f>
        <v>4.8</v>
      </c>
      <c r="I13" s="1">
        <f>IFERROR(__xludf.DUMMYFUNCTION("""COMPUTED_VALUE"""),4.9)</f>
        <v>4.9</v>
      </c>
      <c r="J13" s="37">
        <f>IFERROR(__xludf.DUMMYFUNCTION("""COMPUTED_VALUE"""),4.8)</f>
        <v>4.8</v>
      </c>
      <c r="K13" s="37">
        <f>IFERROR(__xludf.DUMMYFUNCTION("""COMPUTED_VALUE"""),0.0)</f>
        <v>0</v>
      </c>
      <c r="L13" s="37">
        <f>IFERROR(__xludf.DUMMYFUNCTION("""COMPUTED_VALUE"""),5.0)</f>
        <v>5</v>
      </c>
      <c r="M13" s="37">
        <f>IFERROR(__xludf.DUMMYFUNCTION("""COMPUTED_VALUE"""),5.0)</f>
        <v>5</v>
      </c>
      <c r="N13" s="32">
        <f>IFERROR(__xludf.DUMMYFUNCTION("""COMPUTED_VALUE"""),3.8)</f>
        <v>3.8</v>
      </c>
      <c r="O13" s="32">
        <f>IFERROR(__xludf.DUMMYFUNCTION("""COMPUTED_VALUE"""),0.0)</f>
        <v>0</v>
      </c>
      <c r="P13" s="38">
        <f>IFERROR(__xludf.DUMMYFUNCTION("""COMPUTED_VALUE"""),4.833333333333333)</f>
        <v>4.833333333</v>
      </c>
      <c r="Q13" s="37"/>
      <c r="R13" s="37">
        <f>IFERROR(__xludf.DUMMYFUNCTION("""COMPUTED_VALUE"""),4.8)</f>
        <v>4.8</v>
      </c>
      <c r="S13" s="37">
        <f>IFERROR(__xludf.DUMMYFUNCTION("""COMPUTED_VALUE"""),4.9)</f>
        <v>4.9</v>
      </c>
      <c r="T13" s="37">
        <f>IFERROR(__xludf.DUMMYFUNCTION("""COMPUTED_VALUE"""),4.8)</f>
        <v>4.8</v>
      </c>
      <c r="U13" s="37"/>
      <c r="V13" s="37">
        <f>IFERROR(__xludf.DUMMYFUNCTION("""COMPUTED_VALUE"""),2.1)</f>
        <v>2.1</v>
      </c>
      <c r="W13" s="37">
        <f>IFERROR(__xludf.DUMMYFUNCTION("""COMPUTED_VALUE"""),3.0999999999999996)</f>
        <v>3.1</v>
      </c>
      <c r="X13" s="37" t="str">
        <f>IFERROR(__xludf.DUMMYFUNCTION("""COMPUTED_VALUE"""),"U00197085")</f>
        <v>U00197085</v>
      </c>
      <c r="Y13" s="37"/>
    </row>
    <row r="14">
      <c r="C14" s="1"/>
      <c r="D14" s="37"/>
      <c r="E14" s="1"/>
      <c r="F14" s="37"/>
      <c r="G14" s="1"/>
      <c r="H14" s="1"/>
      <c r="I14" s="1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</row>
    <row r="15">
      <c r="C15" s="1"/>
      <c r="D15" s="37"/>
      <c r="E15" s="1"/>
      <c r="F15" s="37"/>
      <c r="G15" s="1"/>
      <c r="H15" s="1"/>
      <c r="I15" s="1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</row>
    <row r="16">
      <c r="C16" s="1"/>
      <c r="D16" s="37"/>
      <c r="E16" s="1"/>
      <c r="F16" s="37"/>
      <c r="G16" s="1"/>
      <c r="H16" s="1"/>
      <c r="I16" s="1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>
      <c r="C17" s="1"/>
      <c r="D17" s="37"/>
      <c r="E17" s="1"/>
      <c r="F17" s="37"/>
      <c r="G17" s="1"/>
      <c r="H17" s="1"/>
      <c r="I17" s="1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</row>
    <row r="18">
      <c r="C18" s="1"/>
      <c r="D18" s="37"/>
      <c r="E18" s="1"/>
      <c r="F18" s="37"/>
      <c r="G18" s="1"/>
      <c r="H18" s="1"/>
      <c r="I18" s="1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</row>
    <row r="19">
      <c r="C19" s="1"/>
      <c r="D19" s="37"/>
      <c r="E19" s="1"/>
      <c r="F19" s="37"/>
      <c r="G19" s="1"/>
      <c r="H19" s="1"/>
      <c r="I19" s="1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</row>
    <row r="20">
      <c r="C20" s="1"/>
      <c r="D20" s="37"/>
      <c r="E20" s="1"/>
      <c r="F20" s="37"/>
      <c r="G20" s="1"/>
      <c r="H20" s="1"/>
      <c r="I20" s="1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</row>
    <row r="21">
      <c r="C21" s="1"/>
      <c r="D21" s="37"/>
      <c r="E21" s="1"/>
      <c r="F21" s="37"/>
      <c r="G21" s="1"/>
      <c r="H21" s="1"/>
      <c r="I21" s="1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</row>
    <row r="22">
      <c r="C22" s="1"/>
      <c r="D22" s="37"/>
      <c r="E22" s="1"/>
      <c r="F22" s="37"/>
      <c r="G22" s="1"/>
      <c r="H22" s="1"/>
      <c r="I22" s="1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</row>
    <row r="23"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</row>
  </sheetData>
  <conditionalFormatting sqref="G2:G13">
    <cfRule type="cellIs" dxfId="0" priority="1" operator="greaterThanOrEqual">
      <formula>3</formula>
    </cfRule>
  </conditionalFormatting>
  <conditionalFormatting sqref="G2:G13">
    <cfRule type="cellIs" dxfId="1" priority="2" operator="between">
      <formula>2</formula>
      <formula>2.999</formula>
    </cfRule>
  </conditionalFormatting>
  <conditionalFormatting sqref="G2:G13">
    <cfRule type="cellIs" dxfId="2" priority="3" operator="lessThanOrEqual">
      <formula>2</formula>
    </cfRule>
  </conditionalFormatting>
  <conditionalFormatting sqref="V2:W13">
    <cfRule type="cellIs" dxfId="2" priority="4" operator="lessThan">
      <formula>2</formula>
    </cfRule>
  </conditionalFormatting>
  <conditionalFormatting sqref="V2:W13">
    <cfRule type="cellIs" dxfId="3" priority="5" operator="between">
      <formula>2</formula>
      <formula>2.9999</formula>
    </cfRule>
  </conditionalFormatting>
  <conditionalFormatting sqref="V2:W13">
    <cfRule type="cellIs" dxfId="0" priority="6" operator="greaterThanOrEqual">
      <formula>3</formula>
    </cfRule>
  </conditionalFormatting>
  <drawing r:id="rId1"/>
</worksheet>
</file>