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60299" sheetId="1" r:id="rId5"/>
    <sheet state="visible" name="NRC55581" sheetId="2" r:id="rId6"/>
    <sheet state="visible" name="NRC55546" sheetId="3" r:id="rId7"/>
    <sheet state="visible" name="NRC63507" sheetId="4" r:id="rId8"/>
    <sheet state="visible" name="NRC62529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Taller de reglas de derivadas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W1">
      <text>
        <t xml:space="preserve">Trabajo parcial final</t>
      </text>
    </comment>
  </commentList>
</comments>
</file>

<file path=xl/sharedStrings.xml><?xml version="1.0" encoding="utf-8"?>
<sst xmlns="http://schemas.openxmlformats.org/spreadsheetml/2006/main" count="114" uniqueCount="105">
  <si>
    <t>No</t>
  </si>
  <si>
    <t>NOMBRE</t>
  </si>
  <si>
    <t>ACEVEDO GARNICA, CARLOS A.</t>
  </si>
  <si>
    <t>AGUIRRE RINCON, MARIA A.</t>
  </si>
  <si>
    <t>ALVAREZ FLOREZ, YAJART D.</t>
  </si>
  <si>
    <t>ALVERNIA CACERES, MARIANA</t>
  </si>
  <si>
    <t>BAUTISTA GOMEZ, JUAN D.</t>
  </si>
  <si>
    <t>CARVAJAL FONTALVO, JUAN S.</t>
  </si>
  <si>
    <t>DAZA OÑATE, SERGIO A.</t>
  </si>
  <si>
    <t>DUARTE RUIZ, SILVIA J.</t>
  </si>
  <si>
    <t>DURAN MATAMOROS, MARIA F.</t>
  </si>
  <si>
    <t>JAIMES ALVAREZ, JOSE A.</t>
  </si>
  <si>
    <t>JAIMES ARDILA, DANA X.</t>
  </si>
  <si>
    <t>LOPEZ NIÑO, ALEJANDRA</t>
  </si>
  <si>
    <t>MERCHAN OÑATE, JOSEMIGUEL</t>
  </si>
  <si>
    <t>MORA PARADA, MANUEL A.</t>
  </si>
  <si>
    <t>NIETO MIZART, CARLOS A.</t>
  </si>
  <si>
    <t>PARDO GUERRERO, ANDRES F.</t>
  </si>
  <si>
    <t>QUINTERO ARENAS, EMANUELLE R.</t>
  </si>
  <si>
    <t>RIVERA MONTIEL, DALYS J.</t>
  </si>
  <si>
    <t>RIVERA RIVERA, KATHERINE J.</t>
  </si>
  <si>
    <t>RODRIGUEZ RUIZ, MARIA A.</t>
  </si>
  <si>
    <t>ROMAN FLOREZ, MARIA J.</t>
  </si>
  <si>
    <t>RUIZ MONTERO, MARIANA</t>
  </si>
  <si>
    <t>TORRES CHAVEZ, SARA S.</t>
  </si>
  <si>
    <t>BOADA MANZANO, ANGELO</t>
  </si>
  <si>
    <t>CACERES DAZA, NICOLAS</t>
  </si>
  <si>
    <t>CARREÑO DIAZ, SHIRLEY L.</t>
  </si>
  <si>
    <t>CARVAJAL NIÑO, ARIANA C.</t>
  </si>
  <si>
    <t>CASTILLA IBAÑEZ, JOSE D.</t>
  </si>
  <si>
    <t>CLARO MARTINEZ, PAULO C.</t>
  </si>
  <si>
    <t>CRISPIN CASTELLANOS, JUAN M.</t>
  </si>
  <si>
    <t>DUSSAN RODRIGUEZ, JOHN A.</t>
  </si>
  <si>
    <t>ESTRADA MUNERA, JUAN C.</t>
  </si>
  <si>
    <t>GOMEZ BONILLA, MARIA P.</t>
  </si>
  <si>
    <t>HERNANDEZ MONSALVE, NICOLAS A.</t>
  </si>
  <si>
    <t>LOPEZ ROJAS, MARIA J.</t>
  </si>
  <si>
    <t>MARTINEZ CEPEDA, JUAN D.</t>
  </si>
  <si>
    <t>MENESES JAIMES, WALTHER D.</t>
  </si>
  <si>
    <t>PINZON ARDILA, MARIA C.</t>
  </si>
  <si>
    <t>RUSSI PICO, LUIGI D.</t>
  </si>
  <si>
    <t>SANTOYO JAIMES, JUAN D.</t>
  </si>
  <si>
    <t>TRUJILLO NOVA, LAURA S.</t>
  </si>
  <si>
    <t>VILLAMIZAR MARTINEZ, OSCAR S.</t>
  </si>
  <si>
    <t>VILLEGAS PINZON, MARIANA A.</t>
  </si>
  <si>
    <t>AMOROCHO CORTES, MARIA J.</t>
  </si>
  <si>
    <t>BELTRAN HERNANDEZ, ANA M.</t>
  </si>
  <si>
    <t>BONZA ACEVEDO, DIEGO A.</t>
  </si>
  <si>
    <t>CARVAJAL PATIÑO, MARIA P.</t>
  </si>
  <si>
    <t>CASTIBLANCO VELASCO, MATEO</t>
  </si>
  <si>
    <t>ESCORCIA FRUTO, MARIANYS H.</t>
  </si>
  <si>
    <t>ESPINEL BACCA, ANGIE C.</t>
  </si>
  <si>
    <t>GOMEZ QUINTERO, LISET G.</t>
  </si>
  <si>
    <t>HERNANDEZ PINTO, LUISA F.</t>
  </si>
  <si>
    <t>HERNANDEZ YEPEZ, LUIS F.</t>
  </si>
  <si>
    <t>JAIMES ROJAS, JHOAN S.</t>
  </si>
  <si>
    <t>LANDAZABAL VALBUENA, YOSLIN S.</t>
  </si>
  <si>
    <t>LUNA HERNANDEZ, JOSEPH J.</t>
  </si>
  <si>
    <t>MELO ARDILA, PAULA J.</t>
  </si>
  <si>
    <t>MENDEZ PEREZ, LUNA F.</t>
  </si>
  <si>
    <t>MONTOYA PEDRAZA, CARLOS E.</t>
  </si>
  <si>
    <t>MORENO PORTILLA, STEPHANY P.</t>
  </si>
  <si>
    <t>NAVARRO HERNANDEZ, JUAN J.</t>
  </si>
  <si>
    <t>OVALLE JIMENEZ, DANNA M.</t>
  </si>
  <si>
    <t>PALLARES DITTA, LUIS M.</t>
  </si>
  <si>
    <t>ROZO SANTOS, CAROLINA</t>
  </si>
  <si>
    <t>SANTAMARIA PAEZ, ALEXANDRA</t>
  </si>
  <si>
    <t>SANTAMARIA VELASCO, IVAN D.</t>
  </si>
  <si>
    <t>TARAZONA ARENALES, ISABELLA</t>
  </si>
  <si>
    <t>VARGAS CASTELLANOS, VALERIA</t>
  </si>
  <si>
    <t>AGUDELO FLOREZ, DANIEL F.</t>
  </si>
  <si>
    <t>CADENA LOPEZ, ANDRES J.</t>
  </si>
  <si>
    <t>CESPEDES URIBE, MARIA J.</t>
  </si>
  <si>
    <t>CORREA TORO, YULIETH D.</t>
  </si>
  <si>
    <t>EL FEGHALI PEREZ, MICHAEL C.</t>
  </si>
  <si>
    <t>ESCOBAR ESPINOSA, WENDY J.</t>
  </si>
  <si>
    <t>GALLO FLOREZ, DANIELA</t>
  </si>
  <si>
    <t>PLATA DIAZ, MARIAN S.</t>
  </si>
  <si>
    <t>RODRIGUEZ DIAZ, DANIEL A.</t>
  </si>
  <si>
    <t>SIERRA OREJARENA, JUAN F.</t>
  </si>
  <si>
    <t>SUAREZ JIMENEZ, MARIANA</t>
  </si>
  <si>
    <t>TORRES RONDON, DALTON Y.</t>
  </si>
  <si>
    <t>VILLARRUEL NARVAEZ, MARIA J.</t>
  </si>
  <si>
    <t>VILLAMIZAR MUÑOZ, JENNIFER L.</t>
  </si>
  <si>
    <t>VIVIESCAS DIAZ, MARIA J.</t>
  </si>
  <si>
    <t>ACOSTA YARURO, SOFIA</t>
  </si>
  <si>
    <t>ALFARO SEPULVEDA, FABIAN A.</t>
  </si>
  <si>
    <t>ALVAREZ MANRIQUE, DANIEL</t>
  </si>
  <si>
    <t>AMAYA GONZALEZ, JAIRO J.</t>
  </si>
  <si>
    <t>ARGUELLO VELANDIA, DAYANNA M.</t>
  </si>
  <si>
    <t>ARIAS RODRIGUEZ, JUAN P.</t>
  </si>
  <si>
    <t>CACERES AYALA, JUAN D.</t>
  </si>
  <si>
    <t>CHANAGA REINA, SANTIAGO D.</t>
  </si>
  <si>
    <t>GAMBOA VESGA, ALEJANDRO</t>
  </si>
  <si>
    <t>GOMEZ QUINTERO, SANTIAGO A.</t>
  </si>
  <si>
    <t>GONZALEZ JAIMES, SAMY N.</t>
  </si>
  <si>
    <t>GONZALEZ MENDOZA, MARYI T.</t>
  </si>
  <si>
    <t>HERNANDEZ MONROY, IVAN F.</t>
  </si>
  <si>
    <t>HERNANDEZ ROA, JUAN E.</t>
  </si>
  <si>
    <t>LOPEZ MARTINEZ, ESTEFANY A.</t>
  </si>
  <si>
    <t>MONTENEGRO FULA, JORGE S.</t>
  </si>
  <si>
    <t>ORDUZ FERNANDEZ, KALETH Z.</t>
  </si>
  <si>
    <t>PEÑARANDA PEREZ, JUAN E.</t>
  </si>
  <si>
    <t>RIVERA CRISTANCHO, ANDRES F.</t>
  </si>
  <si>
    <t>SANCHEZ SERRANO, JUAN 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</si>
</sst>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D5A6BD"/>
        <bgColor rgb="FFD5A6B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 vertical="bottom"/>
    </xf>
    <xf borderId="0" fillId="3" fontId="2" numFmtId="164" xfId="0" applyAlignment="1" applyFill="1" applyFont="1" applyNumberFormat="1">
      <alignment horizontal="center" vertical="bottom"/>
    </xf>
    <xf borderId="0" fillId="4" fontId="2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1" numFmtId="0" xfId="0" applyAlignment="1" applyFont="1">
      <alignment horizontal="left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4" width="4.88"/>
    <col customWidth="1" min="25" max="25" width="6.38"/>
    <col customWidth="1" min="26" max="26" width="10.0"/>
    <col customWidth="1" min="27" max="27" width="10.13"/>
  </cols>
  <sheetData>
    <row r="1">
      <c r="A1" s="1" t="s">
        <v>0</v>
      </c>
      <c r="B1" s="1" t="s">
        <v>1</v>
      </c>
      <c r="C1" s="2" t="str">
        <f>IFERROR(__xludf.DUMMYFUNCTION("IMPORTRANGE(""1vS2gE-mc1A6CX14zq-8uhU927dLafFRogBm_03E8occ"",""MAT2_A!C1:M24"")"),"P1")</f>
        <v>P1</v>
      </c>
      <c r="D1" s="2" t="str">
        <f>IFERROR(__xludf.DUMMYFUNCTION("""COMPUTED_VALUE"""),"P2")</f>
        <v>P2</v>
      </c>
      <c r="E1" s="3" t="str">
        <f>IFERROR(__xludf.DUMMYFUNCTION("""COMPUTED_VALUE"""),"PQT1")</f>
        <v>PQT1</v>
      </c>
      <c r="F1" s="4" t="str">
        <f>IFERROR(__xludf.DUMMYFUNCTION("""COMPUTED_VALUE"""),"1CTE")</f>
        <v>1CTE</v>
      </c>
      <c r="G1" s="5" t="str">
        <f>IFERROR(__xludf.DUMMYFUNCTION("""COMPUTED_VALUE"""),"Ta1")</f>
        <v>Ta1</v>
      </c>
      <c r="H1" s="5" t="str">
        <f>IFERROR(__xludf.DUMMYFUNCTION("""COMPUTED_VALUE"""),"Ta2")</f>
        <v>Ta2</v>
      </c>
      <c r="I1" s="5" t="str">
        <f>IFERROR(__xludf.DUMMYFUNCTION("""COMPUTED_VALUE"""),"Ta3")</f>
        <v>Ta3</v>
      </c>
      <c r="J1" s="6" t="str">
        <f>IFERROR(__xludf.DUMMYFUNCTION("""COMPUTED_VALUE"""),"Ta4")</f>
        <v>Ta4</v>
      </c>
      <c r="K1" s="6" t="str">
        <f>IFERROR(__xludf.DUMMYFUNCTION("""COMPUTED_VALUE"""),"Ta5")</f>
        <v>Ta5</v>
      </c>
      <c r="L1" s="6" t="str">
        <f>IFERROR(__xludf.DUMMYFUNCTION("""COMPUTED_VALUE"""),"Ta6")</f>
        <v>Ta6</v>
      </c>
      <c r="M1" s="6" t="str">
        <f>IFERROR(__xludf.DUMMYFUNCTION("""COMPUTED_VALUE"""),"Ta7")</f>
        <v>Ta7</v>
      </c>
      <c r="N1" s="7" t="str">
        <f>IFERROR(__xludf.DUMMYFUNCTION("IMPORTRANGE(""1vS2gE-mc1A6CX14zq-8uhU927dLafFRogBm_03E8occ"",""MAT2_A!N1:AA24"")"),"P3")</f>
        <v>P3</v>
      </c>
      <c r="O1" s="7" t="str">
        <f>IFERROR(__xludf.DUMMYFUNCTION("""COMPUTED_VALUE"""),"P4")</f>
        <v>P4</v>
      </c>
      <c r="P1" s="7" t="str">
        <f>IFERROR(__xludf.DUMMYFUNCTION("""COMPUTED_VALUE"""),"PQT2")</f>
        <v>PQT2</v>
      </c>
      <c r="Q1" s="7" t="str">
        <f>IFERROR(__xludf.DUMMYFUNCTION("""COMPUTED_VALUE"""),"PA")</f>
        <v>PA</v>
      </c>
      <c r="R1" s="7" t="str">
        <f>IFERROR(__xludf.DUMMYFUNCTION("""COMPUTED_VALUE"""),"2CTE")</f>
        <v>2CTE</v>
      </c>
      <c r="S1" s="7" t="str">
        <f>IFERROR(__xludf.DUMMYFUNCTION("""COMPUTED_VALUE"""),"FINAL")</f>
        <v>FINAL</v>
      </c>
      <c r="T1" s="7" t="str">
        <f>IFERROR(__xludf.DUMMYFUNCTION("""COMPUTED_VALUE"""),"Ta8")</f>
        <v>Ta8</v>
      </c>
      <c r="U1" s="7" t="str">
        <f>IFERROR(__xludf.DUMMYFUNCTION("""COMPUTED_VALUE"""),"Ta9")</f>
        <v>Ta9</v>
      </c>
      <c r="V1" s="7" t="str">
        <f>IFERROR(__xludf.DUMMYFUNCTION("""COMPUTED_VALUE"""),"Ta10")</f>
        <v>Ta10</v>
      </c>
      <c r="W1" s="7" t="str">
        <f>IFERROR(__xludf.DUMMYFUNCTION("""COMPUTED_VALUE"""),"Ta11")</f>
        <v>Ta11</v>
      </c>
      <c r="X1" s="7" t="str">
        <f>IFERROR(__xludf.DUMMYFUNCTION("""COMPUTED_VALUE"""),"Ta12")</f>
        <v>Ta12</v>
      </c>
      <c r="Y1" s="7" t="str">
        <f>IFERROR(__xludf.DUMMYFUNCTION("""COMPUTED_VALUE"""),"Ta13")</f>
        <v>Ta13</v>
      </c>
      <c r="Z1" s="8" t="str">
        <f>IFERROR(__xludf.DUMMYFUNCTION("""COMPUTED_VALUE"""),"Ta14")</f>
        <v>Ta14</v>
      </c>
      <c r="AA1" s="1" t="str">
        <f>IFERROR(__xludf.DUMMYFUNCTION("""COMPUTED_VALUE"""),"ID")</f>
        <v>ID</v>
      </c>
    </row>
    <row r="2">
      <c r="A2" s="1">
        <v>1.0</v>
      </c>
      <c r="B2" s="9" t="s">
        <v>2</v>
      </c>
      <c r="C2" s="10">
        <f>IFERROR(__xludf.DUMMYFUNCTION("""COMPUTED_VALUE"""),2.5)</f>
        <v>2.5</v>
      </c>
      <c r="D2" s="11">
        <f>IFERROR(__xludf.DUMMYFUNCTION("""COMPUTED_VALUE"""),1.9)</f>
        <v>1.9</v>
      </c>
      <c r="E2" s="10">
        <f>IFERROR(__xludf.DUMMYFUNCTION("""COMPUTED_VALUE"""),4.0)</f>
        <v>4</v>
      </c>
      <c r="F2" s="11">
        <f>IFERROR(__xludf.DUMMYFUNCTION("""COMPUTED_VALUE"""),2.7)</f>
        <v>2.7</v>
      </c>
      <c r="G2" s="1">
        <f>IFERROR(__xludf.DUMMYFUNCTION("""COMPUTED_VALUE"""),4.9)</f>
        <v>4.9</v>
      </c>
      <c r="H2" s="1">
        <f>IFERROR(__xludf.DUMMYFUNCTION("""COMPUTED_VALUE"""),5.0)</f>
        <v>5</v>
      </c>
      <c r="I2" s="1">
        <f>IFERROR(__xludf.DUMMYFUNCTION("""COMPUTED_VALUE"""),4.5)</f>
        <v>4.5</v>
      </c>
      <c r="J2" s="11">
        <f>IFERROR(__xludf.DUMMYFUNCTION("""COMPUTED_VALUE"""),5.0)</f>
        <v>5</v>
      </c>
      <c r="K2" s="11">
        <f>IFERROR(__xludf.DUMMYFUNCTION("""COMPUTED_VALUE"""),0.0)</f>
        <v>0</v>
      </c>
      <c r="L2" s="11">
        <f>IFERROR(__xludf.DUMMYFUNCTION("""COMPUTED_VALUE"""),0.0)</f>
        <v>0</v>
      </c>
      <c r="M2" s="11">
        <f>IFERROR(__xludf.DUMMYFUNCTION("""COMPUTED_VALUE"""),4.5)</f>
        <v>4.5</v>
      </c>
      <c r="N2" s="11">
        <f>IFERROR(__xludf.DUMMYFUNCTION("""COMPUTED_VALUE"""),2.0)</f>
        <v>2</v>
      </c>
      <c r="O2" s="11"/>
      <c r="P2" s="12">
        <f>IFERROR(__xludf.DUMMYFUNCTION("""COMPUTED_VALUE"""),5.0)</f>
        <v>5</v>
      </c>
      <c r="Q2" s="11"/>
      <c r="R2" s="11">
        <f>IFERROR(__xludf.DUMMYFUNCTION("""COMPUTED_VALUE"""),1.6)</f>
        <v>1.6</v>
      </c>
      <c r="S2" s="11">
        <f>IFERROR(__xludf.DUMMYFUNCTION("""COMPUTED_VALUE"""),2.1)</f>
        <v>2.1</v>
      </c>
      <c r="T2" s="11">
        <f>IFERROR(__xludf.DUMMYFUNCTION("""COMPUTED_VALUE"""),5.0)</f>
        <v>5</v>
      </c>
      <c r="U2" s="11">
        <f>IFERROR(__xludf.DUMMYFUNCTION("""COMPUTED_VALUE"""),5.0)</f>
        <v>5</v>
      </c>
      <c r="V2" s="11"/>
      <c r="W2" s="11"/>
      <c r="X2" s="11"/>
      <c r="Y2" s="11"/>
      <c r="Z2" s="1"/>
      <c r="AA2" s="1" t="str">
        <f>IFERROR(__xludf.DUMMYFUNCTION("""COMPUTED_VALUE"""),"U00146826")</f>
        <v>U00146826</v>
      </c>
    </row>
    <row r="3">
      <c r="A3" s="1">
        <v>2.0</v>
      </c>
      <c r="B3" s="9" t="s">
        <v>3</v>
      </c>
      <c r="C3" s="10">
        <f>IFERROR(__xludf.DUMMYFUNCTION("""COMPUTED_VALUE"""),3.3)</f>
        <v>3.3</v>
      </c>
      <c r="D3" s="11">
        <f>IFERROR(__xludf.DUMMYFUNCTION("""COMPUTED_VALUE"""),4.0)</f>
        <v>4</v>
      </c>
      <c r="E3" s="10">
        <f>IFERROR(__xludf.DUMMYFUNCTION("""COMPUTED_VALUE"""),4.1)</f>
        <v>4.1</v>
      </c>
      <c r="F3" s="11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IFERROR(__xludf.DUMMYFUNCTION("""COMPUTED_VALUE"""),3.8)</f>
        <v>3.8</v>
      </c>
      <c r="I3" s="1">
        <f>IFERROR(__xludf.DUMMYFUNCTION("""COMPUTED_VALUE"""),0.0)</f>
        <v>0</v>
      </c>
      <c r="J3" s="11">
        <f>IFERROR(__xludf.DUMMYFUNCTION("""COMPUTED_VALUE"""),4.0)</f>
        <v>4</v>
      </c>
      <c r="K3" s="11">
        <f>IFERROR(__xludf.DUMMYFUNCTION("""COMPUTED_VALUE"""),4.1)</f>
        <v>4.1</v>
      </c>
      <c r="L3" s="11">
        <f>IFERROR(__xludf.DUMMYFUNCTION("""COMPUTED_VALUE"""),4.9)</f>
        <v>4.9</v>
      </c>
      <c r="M3" s="11">
        <f>IFERROR(__xludf.DUMMYFUNCTION("""COMPUTED_VALUE"""),3.5)</f>
        <v>3.5</v>
      </c>
      <c r="N3" s="11">
        <f>IFERROR(__xludf.DUMMYFUNCTION("""COMPUTED_VALUE"""),3.7)</f>
        <v>3.7</v>
      </c>
      <c r="O3" s="11"/>
      <c r="P3" s="12">
        <f>IFERROR(__xludf.DUMMYFUNCTION("""COMPUTED_VALUE"""),4.5)</f>
        <v>4.5</v>
      </c>
      <c r="Q3" s="11"/>
      <c r="R3" s="11">
        <f>IFERROR(__xludf.DUMMYFUNCTION("""COMPUTED_VALUE"""),2.0)</f>
        <v>2</v>
      </c>
      <c r="S3" s="11">
        <f>IFERROR(__xludf.DUMMYFUNCTION("""COMPUTED_VALUE"""),2.9)</f>
        <v>2.9</v>
      </c>
      <c r="T3" s="11">
        <f>IFERROR(__xludf.DUMMYFUNCTION("""COMPUTED_VALUE"""),4.5)</f>
        <v>4.5</v>
      </c>
      <c r="U3" s="11">
        <f>IFERROR(__xludf.DUMMYFUNCTION("""COMPUTED_VALUE"""),4.5)</f>
        <v>4.5</v>
      </c>
      <c r="V3" s="11"/>
      <c r="W3" s="11"/>
      <c r="X3" s="11"/>
      <c r="Y3" s="11"/>
      <c r="Z3" s="1"/>
      <c r="AA3" s="1" t="str">
        <f>IFERROR(__xludf.DUMMYFUNCTION("""COMPUTED_VALUE"""),"U00188391")</f>
        <v>U00188391</v>
      </c>
    </row>
    <row r="4">
      <c r="A4" s="1">
        <v>3.0</v>
      </c>
      <c r="B4" s="9" t="s">
        <v>4</v>
      </c>
      <c r="C4" s="10">
        <f>IFERROR(__xludf.DUMMYFUNCTION("""COMPUTED_VALUE"""),5.0)</f>
        <v>5</v>
      </c>
      <c r="D4" s="11">
        <f>IFERROR(__xludf.DUMMYFUNCTION("""COMPUTED_VALUE"""),5.0)</f>
        <v>5</v>
      </c>
      <c r="E4" s="10">
        <f>IFERROR(__xludf.DUMMYFUNCTION("""COMPUTED_VALUE"""),4.8)</f>
        <v>4.8</v>
      </c>
      <c r="F4" s="11">
        <f>IFERROR(__xludf.DUMMYFUNCTION("""COMPUTED_VALUE"""),4.9)</f>
        <v>4.9</v>
      </c>
      <c r="G4" s="1">
        <f>IFERROR(__xludf.DUMMYFUNCTION("""COMPUTED_VALUE"""),5.0)</f>
        <v>5</v>
      </c>
      <c r="H4" s="1">
        <f>IFERROR(__xludf.DUMMYFUNCTION("""COMPUTED_VALUE"""),4.8)</f>
        <v>4.8</v>
      </c>
      <c r="I4" s="1">
        <f>IFERROR(__xludf.DUMMYFUNCTION("""COMPUTED_VALUE"""),4.3)</f>
        <v>4.3</v>
      </c>
      <c r="J4" s="11">
        <f>IFERROR(__xludf.DUMMYFUNCTION("""COMPUTED_VALUE"""),4.4)</f>
        <v>4.4</v>
      </c>
      <c r="K4" s="11">
        <f>IFERROR(__xludf.DUMMYFUNCTION("""COMPUTED_VALUE"""),4.8)</f>
        <v>4.8</v>
      </c>
      <c r="L4" s="11">
        <f>IFERROR(__xludf.DUMMYFUNCTION("""COMPUTED_VALUE"""),4.8)</f>
        <v>4.8</v>
      </c>
      <c r="M4" s="11">
        <f>IFERROR(__xludf.DUMMYFUNCTION("""COMPUTED_VALUE"""),5.0)</f>
        <v>5</v>
      </c>
      <c r="N4" s="11">
        <f>IFERROR(__xludf.DUMMYFUNCTION("""COMPUTED_VALUE"""),5.0)</f>
        <v>5</v>
      </c>
      <c r="O4" s="11"/>
      <c r="P4" s="12">
        <f>IFERROR(__xludf.DUMMYFUNCTION("""COMPUTED_VALUE"""),4.6)</f>
        <v>4.6</v>
      </c>
      <c r="Q4" s="11"/>
      <c r="R4" s="11">
        <f>IFERROR(__xludf.DUMMYFUNCTION("""COMPUTED_VALUE"""),2.4)</f>
        <v>2.4</v>
      </c>
      <c r="S4" s="11">
        <f>IFERROR(__xludf.DUMMYFUNCTION("""COMPUTED_VALUE"""),3.6)</f>
        <v>3.6</v>
      </c>
      <c r="T4" s="11">
        <f>IFERROR(__xludf.DUMMYFUNCTION("""COMPUTED_VALUE"""),4.8)</f>
        <v>4.8</v>
      </c>
      <c r="U4" s="11">
        <f>IFERROR(__xludf.DUMMYFUNCTION("""COMPUTED_VALUE"""),4.4)</f>
        <v>4.4</v>
      </c>
      <c r="V4" s="11"/>
      <c r="W4" s="11"/>
      <c r="X4" s="11"/>
      <c r="Y4" s="11"/>
      <c r="Z4" s="1"/>
      <c r="AA4" s="1" t="str">
        <f>IFERROR(__xludf.DUMMYFUNCTION("""COMPUTED_VALUE"""),"U00190869")</f>
        <v>U00190869</v>
      </c>
    </row>
    <row r="5">
      <c r="A5" s="1">
        <v>4.0</v>
      </c>
      <c r="B5" s="9" t="s">
        <v>5</v>
      </c>
      <c r="C5" s="10">
        <f>IFERROR(__xludf.DUMMYFUNCTION("""COMPUTED_VALUE"""),5.0)</f>
        <v>5</v>
      </c>
      <c r="D5" s="11">
        <f>IFERROR(__xludf.DUMMYFUNCTION("""COMPUTED_VALUE"""),4.6)</f>
        <v>4.6</v>
      </c>
      <c r="E5" s="10">
        <f>IFERROR(__xludf.DUMMYFUNCTION("""COMPUTED_VALUE"""),4.8)</f>
        <v>4.8</v>
      </c>
      <c r="F5" s="11">
        <f>IFERROR(__xludf.DUMMYFUNCTION("""COMPUTED_VALUE"""),4.8)</f>
        <v>4.8</v>
      </c>
      <c r="G5" s="1">
        <f>IFERROR(__xludf.DUMMYFUNCTION("""COMPUTED_VALUE"""),4.8)</f>
        <v>4.8</v>
      </c>
      <c r="H5" s="1">
        <f>IFERROR(__xludf.DUMMYFUNCTION("""COMPUTED_VALUE"""),4.9)</f>
        <v>4.9</v>
      </c>
      <c r="I5" s="1">
        <f>IFERROR(__xludf.DUMMYFUNCTION("""COMPUTED_VALUE"""),4.8)</f>
        <v>4.8</v>
      </c>
      <c r="J5" s="11">
        <f>IFERROR(__xludf.DUMMYFUNCTION("""COMPUTED_VALUE"""),5.0)</f>
        <v>5</v>
      </c>
      <c r="K5" s="11">
        <f>IFERROR(__xludf.DUMMYFUNCTION("""COMPUTED_VALUE"""),4.5)</f>
        <v>4.5</v>
      </c>
      <c r="L5" s="11">
        <f>IFERROR(__xludf.DUMMYFUNCTION("""COMPUTED_VALUE"""),5.0)</f>
        <v>5</v>
      </c>
      <c r="M5" s="11">
        <f>IFERROR(__xludf.DUMMYFUNCTION("""COMPUTED_VALUE"""),3.5)</f>
        <v>3.5</v>
      </c>
      <c r="N5" s="11">
        <f>IFERROR(__xludf.DUMMYFUNCTION("""COMPUTED_VALUE"""),4.8)</f>
        <v>4.8</v>
      </c>
      <c r="O5" s="11"/>
      <c r="P5" s="12">
        <f>IFERROR(__xludf.DUMMYFUNCTION("""COMPUTED_VALUE"""),4.9)</f>
        <v>4.9</v>
      </c>
      <c r="Q5" s="11"/>
      <c r="R5" s="11">
        <f>IFERROR(__xludf.DUMMYFUNCTION("""COMPUTED_VALUE"""),2.4)</f>
        <v>2.4</v>
      </c>
      <c r="S5" s="11">
        <f>IFERROR(__xludf.DUMMYFUNCTION("""COMPUTED_VALUE"""),3.6)</f>
        <v>3.6</v>
      </c>
      <c r="T5" s="11">
        <f>IFERROR(__xludf.DUMMYFUNCTION("""COMPUTED_VALUE"""),5.0)</f>
        <v>5</v>
      </c>
      <c r="U5" s="11">
        <f>IFERROR(__xludf.DUMMYFUNCTION("""COMPUTED_VALUE"""),4.7)</f>
        <v>4.7</v>
      </c>
      <c r="V5" s="11"/>
      <c r="W5" s="11"/>
      <c r="X5" s="11"/>
      <c r="Y5" s="11"/>
      <c r="Z5" s="1"/>
      <c r="AA5" s="1" t="str">
        <f>IFERROR(__xludf.DUMMYFUNCTION("""COMPUTED_VALUE"""),"U00189899")</f>
        <v>U00189899</v>
      </c>
    </row>
    <row r="6">
      <c r="A6" s="1">
        <v>5.0</v>
      </c>
      <c r="B6" s="9" t="s">
        <v>6</v>
      </c>
      <c r="C6" s="10">
        <f>IFERROR(__xludf.DUMMYFUNCTION("""COMPUTED_VALUE"""),5.0)</f>
        <v>5</v>
      </c>
      <c r="D6" s="11">
        <f>IFERROR(__xludf.DUMMYFUNCTION("""COMPUTED_VALUE"""),5.0)</f>
        <v>5</v>
      </c>
      <c r="E6" s="10">
        <f>IFERROR(__xludf.DUMMYFUNCTION("""COMPUTED_VALUE"""),3.2)</f>
        <v>3.2</v>
      </c>
      <c r="F6" s="11">
        <f>IFERROR(__xludf.DUMMYFUNCTION("""COMPUTED_VALUE"""),4.5)</f>
        <v>4.5</v>
      </c>
      <c r="G6" s="1">
        <f>IFERROR(__xludf.DUMMYFUNCTION("""COMPUTED_VALUE"""),4.8)</f>
        <v>4.8</v>
      </c>
      <c r="H6" s="1">
        <f>IFERROR(__xludf.DUMMYFUNCTION("""COMPUTED_VALUE"""),4.6)</f>
        <v>4.6</v>
      </c>
      <c r="I6" s="1">
        <f>IFERROR(__xludf.DUMMYFUNCTION("""COMPUTED_VALUE"""),5.0)</f>
        <v>5</v>
      </c>
      <c r="J6" s="11">
        <f>IFERROR(__xludf.DUMMYFUNCTION("""COMPUTED_VALUE"""),5.0)</f>
        <v>5</v>
      </c>
      <c r="K6" s="11">
        <f>IFERROR(__xludf.DUMMYFUNCTION("""COMPUTED_VALUE"""),0.0)</f>
        <v>0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>
        <f>IFERROR(__xludf.DUMMYFUNCTION("""COMPUTED_VALUE"""),4.9)</f>
        <v>4.9</v>
      </c>
      <c r="O6" s="11"/>
      <c r="P6" s="12">
        <f>IFERROR(__xludf.DUMMYFUNCTION("""COMPUTED_VALUE"""),4.1)</f>
        <v>4.1</v>
      </c>
      <c r="Q6" s="11"/>
      <c r="R6" s="11">
        <f>IFERROR(__xludf.DUMMYFUNCTION("""COMPUTED_VALUE"""),2.3)</f>
        <v>2.3</v>
      </c>
      <c r="S6" s="11">
        <f>IFERROR(__xludf.DUMMYFUNCTION("""COMPUTED_VALUE"""),3.4)</f>
        <v>3.4</v>
      </c>
      <c r="T6" s="11">
        <f>IFERROR(__xludf.DUMMYFUNCTION("""COMPUTED_VALUE"""),4.8)</f>
        <v>4.8</v>
      </c>
      <c r="U6" s="11">
        <f>IFERROR(__xludf.DUMMYFUNCTION("""COMPUTED_VALUE"""),3.4)</f>
        <v>3.4</v>
      </c>
      <c r="V6" s="11"/>
      <c r="W6" s="11"/>
      <c r="X6" s="11"/>
      <c r="Y6" s="11"/>
      <c r="Z6" s="1"/>
      <c r="AA6" s="1" t="str">
        <f>IFERROR(__xludf.DUMMYFUNCTION("""COMPUTED_VALUE"""),"U00190892")</f>
        <v>U00190892</v>
      </c>
    </row>
    <row r="7">
      <c r="A7" s="1">
        <v>6.0</v>
      </c>
      <c r="B7" s="9" t="s">
        <v>7</v>
      </c>
      <c r="C7" s="10">
        <f>IFERROR(__xludf.DUMMYFUNCTION("""COMPUTED_VALUE"""),0.6)</f>
        <v>0.6</v>
      </c>
      <c r="D7" s="11">
        <f>IFERROR(__xludf.DUMMYFUNCTION("""COMPUTED_VALUE"""),3.8)</f>
        <v>3.8</v>
      </c>
      <c r="E7" s="10">
        <f>IFERROR(__xludf.DUMMYFUNCTION("""COMPUTED_VALUE"""),4.1)</f>
        <v>4.1</v>
      </c>
      <c r="F7" s="11">
        <f>IFERROR(__xludf.DUMMYFUNCTION("""COMPUTED_VALUE"""),2.8)</f>
        <v>2.8</v>
      </c>
      <c r="G7" s="1">
        <f>IFERROR(__xludf.DUMMYFUNCTION("""COMPUTED_VALUE"""),4.7)</f>
        <v>4.7</v>
      </c>
      <c r="H7" s="1">
        <f>IFERROR(__xludf.DUMMYFUNCTION("""COMPUTED_VALUE"""),0.0)</f>
        <v>0</v>
      </c>
      <c r="I7" s="1">
        <f>IFERROR(__xludf.DUMMYFUNCTION("""COMPUTED_VALUE"""),4.3)</f>
        <v>4.3</v>
      </c>
      <c r="J7" s="11">
        <f>IFERROR(__xludf.DUMMYFUNCTION("""COMPUTED_VALUE"""),4.8)</f>
        <v>4.8</v>
      </c>
      <c r="K7" s="11">
        <f>IFERROR(__xludf.DUMMYFUNCTION("""COMPUTED_VALUE"""),3.4)</f>
        <v>3.4</v>
      </c>
      <c r="L7" s="11">
        <f>IFERROR(__xludf.DUMMYFUNCTION("""COMPUTED_VALUE"""),2.3)</f>
        <v>2.3</v>
      </c>
      <c r="M7" s="11">
        <f>IFERROR(__xludf.DUMMYFUNCTION("""COMPUTED_VALUE"""),5.0)</f>
        <v>5</v>
      </c>
      <c r="N7" s="11">
        <f>IFERROR(__xludf.DUMMYFUNCTION("""COMPUTED_VALUE"""),0.4)</f>
        <v>0.4</v>
      </c>
      <c r="O7" s="11"/>
      <c r="P7" s="12">
        <f>IFERROR(__xludf.DUMMYFUNCTION("""COMPUTED_VALUE"""),4.4)</f>
        <v>4.4</v>
      </c>
      <c r="Q7" s="11"/>
      <c r="R7" s="11">
        <f>IFERROR(__xludf.DUMMYFUNCTION("""COMPUTED_VALUE"""),1.0)</f>
        <v>1</v>
      </c>
      <c r="S7" s="11">
        <f>IFERROR(__xludf.DUMMYFUNCTION("""COMPUTED_VALUE"""),1.9)</f>
        <v>1.9</v>
      </c>
      <c r="T7" s="11">
        <f>IFERROR(__xludf.DUMMYFUNCTION("""COMPUTED_VALUE"""),4.7)</f>
        <v>4.7</v>
      </c>
      <c r="U7" s="11">
        <f>IFERROR(__xludf.DUMMYFUNCTION("""COMPUTED_VALUE"""),4.1)</f>
        <v>4.1</v>
      </c>
      <c r="V7" s="11"/>
      <c r="W7" s="11"/>
      <c r="X7" s="11"/>
      <c r="Y7" s="11"/>
      <c r="Z7" s="1"/>
      <c r="AA7" s="1" t="str">
        <f>IFERROR(__xludf.DUMMYFUNCTION("""COMPUTED_VALUE"""),"U00188544")</f>
        <v>U00188544</v>
      </c>
    </row>
    <row r="8">
      <c r="A8" s="1">
        <v>7.0</v>
      </c>
      <c r="B8" s="9" t="s">
        <v>8</v>
      </c>
      <c r="C8" s="10">
        <f>IFERROR(__xludf.DUMMYFUNCTION("""COMPUTED_VALUE"""),3.4)</f>
        <v>3.4</v>
      </c>
      <c r="D8" s="11">
        <f>IFERROR(__xludf.DUMMYFUNCTION("""COMPUTED_VALUE"""),1.6)</f>
        <v>1.6</v>
      </c>
      <c r="E8" s="10">
        <f>IFERROR(__xludf.DUMMYFUNCTION("""COMPUTED_VALUE"""),3.7)</f>
        <v>3.7</v>
      </c>
      <c r="F8" s="11">
        <f>IFERROR(__xludf.DUMMYFUNCTION("""COMPUTED_VALUE"""),2.9)</f>
        <v>2.9</v>
      </c>
      <c r="G8" s="1">
        <f>IFERROR(__xludf.DUMMYFUNCTION("""COMPUTED_VALUE"""),4.9)</f>
        <v>4.9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1">
        <f>IFERROR(__xludf.DUMMYFUNCTION("""COMPUTED_VALUE"""),4.0)</f>
        <v>4</v>
      </c>
      <c r="K8" s="11">
        <f>IFERROR(__xludf.DUMMYFUNCTION("""COMPUTED_VALUE"""),4.3)</f>
        <v>4.3</v>
      </c>
      <c r="L8" s="11">
        <f>IFERROR(__xludf.DUMMYFUNCTION("""COMPUTED_VALUE"""),0.0)</f>
        <v>0</v>
      </c>
      <c r="M8" s="11">
        <f>IFERROR(__xludf.DUMMYFUNCTION("""COMPUTED_VALUE"""),4.2)</f>
        <v>4.2</v>
      </c>
      <c r="N8" s="11">
        <f>IFERROR(__xludf.DUMMYFUNCTION("""COMPUTED_VALUE"""),5.0)</f>
        <v>5</v>
      </c>
      <c r="O8" s="11"/>
      <c r="P8" s="12">
        <f>IFERROR(__xludf.DUMMYFUNCTION("""COMPUTED_VALUE"""),4.7)</f>
        <v>4.7</v>
      </c>
      <c r="Q8" s="11"/>
      <c r="R8" s="11">
        <f>IFERROR(__xludf.DUMMYFUNCTION("""COMPUTED_VALUE"""),2.4)</f>
        <v>2.4</v>
      </c>
      <c r="S8" s="11">
        <f>IFERROR(__xludf.DUMMYFUNCTION("""COMPUTED_VALUE"""),2.6)</f>
        <v>2.6</v>
      </c>
      <c r="T8" s="11">
        <f>IFERROR(__xludf.DUMMYFUNCTION("""COMPUTED_VALUE"""),4.5)</f>
        <v>4.5</v>
      </c>
      <c r="U8" s="11">
        <f>IFERROR(__xludf.DUMMYFUNCTION("""COMPUTED_VALUE"""),4.8)</f>
        <v>4.8</v>
      </c>
      <c r="V8" s="11"/>
      <c r="W8" s="11"/>
      <c r="X8" s="11"/>
      <c r="Y8" s="11"/>
      <c r="Z8" s="1"/>
      <c r="AA8" s="1" t="str">
        <f>IFERROR(__xludf.DUMMYFUNCTION("""COMPUTED_VALUE"""),"U00188724")</f>
        <v>U00188724</v>
      </c>
    </row>
    <row r="9">
      <c r="A9" s="1">
        <v>8.0</v>
      </c>
      <c r="B9" s="9" t="s">
        <v>9</v>
      </c>
      <c r="C9" s="10">
        <f>IFERROR(__xludf.DUMMYFUNCTION("""COMPUTED_VALUE"""),4.9)</f>
        <v>4.9</v>
      </c>
      <c r="D9" s="11">
        <f>IFERROR(__xludf.DUMMYFUNCTION("""COMPUTED_VALUE"""),5.0)</f>
        <v>5</v>
      </c>
      <c r="E9" s="10">
        <f>IFERROR(__xludf.DUMMYFUNCTION("""COMPUTED_VALUE"""),4.9)</f>
        <v>4.9</v>
      </c>
      <c r="F9" s="11">
        <f>IFERROR(__xludf.DUMMYFUNCTION("""COMPUTED_VALUE"""),4.9)</f>
        <v>4.9</v>
      </c>
      <c r="G9" s="1">
        <f>IFERROR(__xludf.DUMMYFUNCTION("""COMPUTED_VALUE"""),5.0)</f>
        <v>5</v>
      </c>
      <c r="H9" s="1">
        <f>IFERROR(__xludf.DUMMYFUNCTION("""COMPUTED_VALUE"""),4.9)</f>
        <v>4.9</v>
      </c>
      <c r="I9" s="1">
        <f>IFERROR(__xludf.DUMMYFUNCTION("""COMPUTED_VALUE"""),0.0)</f>
        <v>0</v>
      </c>
      <c r="J9" s="11">
        <f>IFERROR(__xludf.DUMMYFUNCTION("""COMPUTED_VALUE"""),4.8)</f>
        <v>4.8</v>
      </c>
      <c r="K9" s="11">
        <f>IFERROR(__xludf.DUMMYFUNCTION("""COMPUTED_VALUE"""),5.0)</f>
        <v>5</v>
      </c>
      <c r="L9" s="11">
        <f>IFERROR(__xludf.DUMMYFUNCTION("""COMPUTED_VALUE"""),5.0)</f>
        <v>5</v>
      </c>
      <c r="M9" s="11">
        <f>IFERROR(__xludf.DUMMYFUNCTION("""COMPUTED_VALUE"""),4.5)</f>
        <v>4.5</v>
      </c>
      <c r="N9" s="11">
        <f>IFERROR(__xludf.DUMMYFUNCTION("""COMPUTED_VALUE"""),4.6)</f>
        <v>4.6</v>
      </c>
      <c r="O9" s="11"/>
      <c r="P9" s="12">
        <f>IFERROR(__xludf.DUMMYFUNCTION("""COMPUTED_VALUE"""),4.6)</f>
        <v>4.6</v>
      </c>
      <c r="Q9" s="11"/>
      <c r="R9" s="11">
        <f>IFERROR(__xludf.DUMMYFUNCTION("""COMPUTED_VALUE"""),2.3)</f>
        <v>2.3</v>
      </c>
      <c r="S9" s="11">
        <f>IFERROR(__xludf.DUMMYFUNCTION("""COMPUTED_VALUE"""),3.6)</f>
        <v>3.6</v>
      </c>
      <c r="T9" s="11">
        <f>IFERROR(__xludf.DUMMYFUNCTION("""COMPUTED_VALUE"""),4.3)</f>
        <v>4.3</v>
      </c>
      <c r="U9" s="11">
        <f>IFERROR(__xludf.DUMMYFUNCTION("""COMPUTED_VALUE"""),4.8)</f>
        <v>4.8</v>
      </c>
      <c r="V9" s="11"/>
      <c r="W9" s="11"/>
      <c r="X9" s="11"/>
      <c r="Y9" s="11"/>
      <c r="Z9" s="1"/>
      <c r="AA9" s="1" t="str">
        <f>IFERROR(__xludf.DUMMYFUNCTION("""COMPUTED_VALUE"""),"U00191010")</f>
        <v>U00191010</v>
      </c>
    </row>
    <row r="10">
      <c r="A10" s="1">
        <v>9.0</v>
      </c>
      <c r="B10" s="9" t="s">
        <v>10</v>
      </c>
      <c r="C10" s="10">
        <f>IFERROR(__xludf.DUMMYFUNCTION("""COMPUTED_VALUE"""),3.1)</f>
        <v>3.1</v>
      </c>
      <c r="D10" s="11">
        <f>IFERROR(__xludf.DUMMYFUNCTION("""COMPUTED_VALUE"""),4.1)</f>
        <v>4.1</v>
      </c>
      <c r="E10" s="10">
        <f>IFERROR(__xludf.DUMMYFUNCTION("""COMPUTED_VALUE"""),3.8)</f>
        <v>3.8</v>
      </c>
      <c r="F10" s="11">
        <f>IFERROR(__xludf.DUMMYFUNCTION("""COMPUTED_VALUE"""),3.7)</f>
        <v>3.7</v>
      </c>
      <c r="G10" s="1">
        <f>IFERROR(__xludf.DUMMYFUNCTION("""COMPUTED_VALUE"""),4.0)</f>
        <v>4</v>
      </c>
      <c r="H10" s="1">
        <f>IFERROR(__xludf.DUMMYFUNCTION("""COMPUTED_VALUE"""),4.5)</f>
        <v>4.5</v>
      </c>
      <c r="I10" s="1">
        <f>IFERROR(__xludf.DUMMYFUNCTION("""COMPUTED_VALUE"""),0.0)</f>
        <v>0</v>
      </c>
      <c r="J10" s="11">
        <f>IFERROR(__xludf.DUMMYFUNCTION("""COMPUTED_VALUE"""),4.8)</f>
        <v>4.8</v>
      </c>
      <c r="K10" s="11">
        <f>IFERROR(__xludf.DUMMYFUNCTION("""COMPUTED_VALUE"""),4.5)</f>
        <v>4.5</v>
      </c>
      <c r="L10" s="11">
        <f>IFERROR(__xludf.DUMMYFUNCTION("""COMPUTED_VALUE"""),4.7)</f>
        <v>4.7</v>
      </c>
      <c r="M10" s="11">
        <f>IFERROR(__xludf.DUMMYFUNCTION("""COMPUTED_VALUE"""),0.0)</f>
        <v>0</v>
      </c>
      <c r="N10" s="11">
        <f>IFERROR(__xludf.DUMMYFUNCTION("""COMPUTED_VALUE"""),2.3)</f>
        <v>2.3</v>
      </c>
      <c r="O10" s="11"/>
      <c r="P10" s="12">
        <f>IFERROR(__xludf.DUMMYFUNCTION("""COMPUTED_VALUE"""),2.5)</f>
        <v>2.5</v>
      </c>
      <c r="Q10" s="11"/>
      <c r="R10" s="11">
        <f>IFERROR(__xludf.DUMMYFUNCTION("""COMPUTED_VALUE"""),1.2)</f>
        <v>1.2</v>
      </c>
      <c r="S10" s="11">
        <f>IFERROR(__xludf.DUMMYFUNCTION("""COMPUTED_VALUE"""),2.4)</f>
        <v>2.4</v>
      </c>
      <c r="T10" s="11">
        <f>IFERROR(__xludf.DUMMYFUNCTION("""COMPUTED_VALUE"""),5.0)</f>
        <v>5</v>
      </c>
      <c r="U10" s="11">
        <f>IFERROR(__xludf.DUMMYFUNCTION("""COMPUTED_VALUE"""),0.0)</f>
        <v>0</v>
      </c>
      <c r="V10" s="11"/>
      <c r="W10" s="11"/>
      <c r="X10" s="11"/>
      <c r="Y10" s="11"/>
      <c r="Z10" s="1"/>
      <c r="AA10" s="1" t="str">
        <f>IFERROR(__xludf.DUMMYFUNCTION("""COMPUTED_VALUE"""),"U00190932")</f>
        <v>U00190932</v>
      </c>
    </row>
    <row r="11">
      <c r="A11" s="1">
        <v>10.0</v>
      </c>
      <c r="B11" s="9" t="s">
        <v>11</v>
      </c>
      <c r="C11" s="10">
        <f>IFERROR(__xludf.DUMMYFUNCTION("""COMPUTED_VALUE"""),2.4)</f>
        <v>2.4</v>
      </c>
      <c r="D11" s="11">
        <f>IFERROR(__xludf.DUMMYFUNCTION("""COMPUTED_VALUE"""),3.0)</f>
        <v>3</v>
      </c>
      <c r="E11" s="10">
        <f>IFERROR(__xludf.DUMMYFUNCTION("""COMPUTED_VALUE"""),4.8)</f>
        <v>4.8</v>
      </c>
      <c r="F11" s="11">
        <f>IFERROR(__xludf.DUMMYFUNCTION("""COMPUTED_VALUE"""),3.3)</f>
        <v>3.3</v>
      </c>
      <c r="G11" s="1">
        <f>IFERROR(__xludf.DUMMYFUNCTION("""COMPUTED_VALUE"""),4.5)</f>
        <v>4.5</v>
      </c>
      <c r="H11" s="1">
        <f>IFERROR(__xludf.DUMMYFUNCTION("""COMPUTED_VALUE"""),4.5)</f>
        <v>4.5</v>
      </c>
      <c r="I11" s="1">
        <f>IFERROR(__xludf.DUMMYFUNCTION("""COMPUTED_VALUE"""),4.6)</f>
        <v>4.6</v>
      </c>
      <c r="J11" s="11">
        <f>IFERROR(__xludf.DUMMYFUNCTION("""COMPUTED_VALUE"""),5.0)</f>
        <v>5</v>
      </c>
      <c r="K11" s="11">
        <f>IFERROR(__xludf.DUMMYFUNCTION("""COMPUTED_VALUE"""),4.5)</f>
        <v>4.5</v>
      </c>
      <c r="L11" s="11">
        <f>IFERROR(__xludf.DUMMYFUNCTION("""COMPUTED_VALUE"""),5.0)</f>
        <v>5</v>
      </c>
      <c r="M11" s="11">
        <f>IFERROR(__xludf.DUMMYFUNCTION("""COMPUTED_VALUE"""),5.0)</f>
        <v>5</v>
      </c>
      <c r="N11" s="11">
        <f>IFERROR(__xludf.DUMMYFUNCTION("""COMPUTED_VALUE"""),3.4)</f>
        <v>3.4</v>
      </c>
      <c r="O11" s="11"/>
      <c r="P11" s="12">
        <f>IFERROR(__xludf.DUMMYFUNCTION("""COMPUTED_VALUE"""),4.1)</f>
        <v>4.1</v>
      </c>
      <c r="Q11" s="11"/>
      <c r="R11" s="11">
        <f>IFERROR(__xludf.DUMMYFUNCTION("""COMPUTED_VALUE"""),1.8)</f>
        <v>1.8</v>
      </c>
      <c r="S11" s="11">
        <f>IFERROR(__xludf.DUMMYFUNCTION("""COMPUTED_VALUE"""),2.5)</f>
        <v>2.5</v>
      </c>
      <c r="T11" s="11">
        <f>IFERROR(__xludf.DUMMYFUNCTION("""COMPUTED_VALUE"""),4.3)</f>
        <v>4.3</v>
      </c>
      <c r="U11" s="11">
        <f>IFERROR(__xludf.DUMMYFUNCTION("""COMPUTED_VALUE"""),3.9)</f>
        <v>3.9</v>
      </c>
      <c r="V11" s="11"/>
      <c r="W11" s="11"/>
      <c r="X11" s="11"/>
      <c r="Y11" s="11"/>
      <c r="Z11" s="1"/>
      <c r="AA11" s="1" t="str">
        <f>IFERROR(__xludf.DUMMYFUNCTION("""COMPUTED_VALUE"""),"U00190386")</f>
        <v>U00190386</v>
      </c>
    </row>
    <row r="12">
      <c r="A12" s="1">
        <v>11.0</v>
      </c>
      <c r="B12" s="9" t="s">
        <v>12</v>
      </c>
      <c r="C12" s="10">
        <f>IFERROR(__xludf.DUMMYFUNCTION("""COMPUTED_VALUE"""),4.5)</f>
        <v>4.5</v>
      </c>
      <c r="D12" s="11">
        <f>IFERROR(__xludf.DUMMYFUNCTION("""COMPUTED_VALUE"""),5.0)</f>
        <v>5</v>
      </c>
      <c r="E12" s="10">
        <f>IFERROR(__xludf.DUMMYFUNCTION("""COMPUTED_VALUE"""),4.7)</f>
        <v>4.7</v>
      </c>
      <c r="F12" s="11">
        <f>IFERROR(__xludf.DUMMYFUNCTION("""COMPUTED_VALUE"""),4.7)</f>
        <v>4.7</v>
      </c>
      <c r="G12" s="1">
        <f>IFERROR(__xludf.DUMMYFUNCTION("""COMPUTED_VALUE"""),5.0)</f>
        <v>5</v>
      </c>
      <c r="H12" s="1">
        <f>IFERROR(__xludf.DUMMYFUNCTION("""COMPUTED_VALUE"""),5.0)</f>
        <v>5</v>
      </c>
      <c r="I12" s="1">
        <f>IFERROR(__xludf.DUMMYFUNCTION("""COMPUTED_VALUE"""),4.8)</f>
        <v>4.8</v>
      </c>
      <c r="J12" s="11">
        <f>IFERROR(__xludf.DUMMYFUNCTION("""COMPUTED_VALUE"""),4.5)</f>
        <v>4.5</v>
      </c>
      <c r="K12" s="11">
        <f>IFERROR(__xludf.DUMMYFUNCTION("""COMPUTED_VALUE"""),4.1)</f>
        <v>4.1</v>
      </c>
      <c r="L12" s="11">
        <f>IFERROR(__xludf.DUMMYFUNCTION("""COMPUTED_VALUE"""),4.3)</f>
        <v>4.3</v>
      </c>
      <c r="M12" s="11">
        <f>IFERROR(__xludf.DUMMYFUNCTION("""COMPUTED_VALUE"""),4.5)</f>
        <v>4.5</v>
      </c>
      <c r="N12" s="11">
        <f>IFERROR(__xludf.DUMMYFUNCTION("""COMPUTED_VALUE"""),5.0)</f>
        <v>5</v>
      </c>
      <c r="O12" s="11"/>
      <c r="P12" s="12">
        <f>IFERROR(__xludf.DUMMYFUNCTION("""COMPUTED_VALUE"""),4.8)</f>
        <v>4.8</v>
      </c>
      <c r="Q12" s="11"/>
      <c r="R12" s="11">
        <f>IFERROR(__xludf.DUMMYFUNCTION("""COMPUTED_VALUE"""),2.5)</f>
        <v>2.5</v>
      </c>
      <c r="S12" s="11">
        <f>IFERROR(__xludf.DUMMYFUNCTION("""COMPUTED_VALUE"""),3.6)</f>
        <v>3.6</v>
      </c>
      <c r="T12" s="11">
        <f>IFERROR(__xludf.DUMMYFUNCTION("""COMPUTED_VALUE"""),4.8)</f>
        <v>4.8</v>
      </c>
      <c r="U12" s="11">
        <f>IFERROR(__xludf.DUMMYFUNCTION("""COMPUTED_VALUE"""),4.8)</f>
        <v>4.8</v>
      </c>
      <c r="V12" s="11"/>
      <c r="W12" s="11"/>
      <c r="X12" s="11"/>
      <c r="Y12" s="11"/>
      <c r="Z12" s="1"/>
      <c r="AA12" s="1" t="str">
        <f>IFERROR(__xludf.DUMMYFUNCTION("""COMPUTED_VALUE"""),"U00190557")</f>
        <v>U00190557</v>
      </c>
    </row>
    <row r="13">
      <c r="A13" s="1">
        <v>12.0</v>
      </c>
      <c r="B13" s="9" t="s">
        <v>13</v>
      </c>
      <c r="C13" s="10">
        <f>IFERROR(__xludf.DUMMYFUNCTION("""COMPUTED_VALUE"""),3.0)</f>
        <v>3</v>
      </c>
      <c r="D13" s="11">
        <f>IFERROR(__xludf.DUMMYFUNCTION("""COMPUTED_VALUE"""),3.6)</f>
        <v>3.6</v>
      </c>
      <c r="E13" s="10">
        <f>IFERROR(__xludf.DUMMYFUNCTION("""COMPUTED_VALUE"""),4.6)</f>
        <v>4.6</v>
      </c>
      <c r="F13" s="11">
        <f>IFERROR(__xludf.DUMMYFUNCTION("""COMPUTED_VALUE"""),3.7)</f>
        <v>3.7</v>
      </c>
      <c r="G13" s="1">
        <f>IFERROR(__xludf.DUMMYFUNCTION("""COMPUTED_VALUE"""),4.0)</f>
        <v>4</v>
      </c>
      <c r="H13" s="1">
        <f>IFERROR(__xludf.DUMMYFUNCTION("""COMPUTED_VALUE"""),4.3)</f>
        <v>4.3</v>
      </c>
      <c r="I13" s="1">
        <f>IFERROR(__xludf.DUMMYFUNCTION("""COMPUTED_VALUE"""),4.5)</f>
        <v>4.5</v>
      </c>
      <c r="J13" s="11">
        <f>IFERROR(__xludf.DUMMYFUNCTION("""COMPUTED_VALUE"""),4.8)</f>
        <v>4.8</v>
      </c>
      <c r="K13" s="11">
        <f>IFERROR(__xludf.DUMMYFUNCTION("""COMPUTED_VALUE"""),4.8)</f>
        <v>4.8</v>
      </c>
      <c r="L13" s="11">
        <f>IFERROR(__xludf.DUMMYFUNCTION("""COMPUTED_VALUE"""),5.0)</f>
        <v>5</v>
      </c>
      <c r="M13" s="11">
        <f>IFERROR(__xludf.DUMMYFUNCTION("""COMPUTED_VALUE"""),0.0)</f>
        <v>0</v>
      </c>
      <c r="N13" s="11">
        <f>IFERROR(__xludf.DUMMYFUNCTION("""COMPUTED_VALUE"""),4.0)</f>
        <v>4</v>
      </c>
      <c r="O13" s="11"/>
      <c r="P13" s="12">
        <f>IFERROR(__xludf.DUMMYFUNCTION("""COMPUTED_VALUE"""),4.8)</f>
        <v>4.8</v>
      </c>
      <c r="Q13" s="11"/>
      <c r="R13" s="11">
        <f>IFERROR(__xludf.DUMMYFUNCTION("""COMPUTED_VALUE"""),2.2)</f>
        <v>2.2</v>
      </c>
      <c r="S13" s="11">
        <f>IFERROR(__xludf.DUMMYFUNCTION("""COMPUTED_VALUE"""),2.9)</f>
        <v>2.9</v>
      </c>
      <c r="T13" s="11">
        <f>IFERROR(__xludf.DUMMYFUNCTION("""COMPUTED_VALUE"""),4.8)</f>
        <v>4.8</v>
      </c>
      <c r="U13" s="11">
        <f>IFERROR(__xludf.DUMMYFUNCTION("""COMPUTED_VALUE"""),4.8)</f>
        <v>4.8</v>
      </c>
      <c r="V13" s="11"/>
      <c r="W13" s="11"/>
      <c r="X13" s="11"/>
      <c r="Y13" s="11"/>
      <c r="Z13" s="1"/>
      <c r="AA13" s="1" t="str">
        <f>IFERROR(__xludf.DUMMYFUNCTION("""COMPUTED_VALUE"""),"U00189600")</f>
        <v>U00189600</v>
      </c>
    </row>
    <row r="14">
      <c r="A14" s="1">
        <v>13.0</v>
      </c>
      <c r="B14" s="9" t="s">
        <v>14</v>
      </c>
      <c r="C14" s="10">
        <f>IFERROR(__xludf.DUMMYFUNCTION("""COMPUTED_VALUE"""),4.1)</f>
        <v>4.1</v>
      </c>
      <c r="D14" s="11">
        <f>IFERROR(__xludf.DUMMYFUNCTION("""COMPUTED_VALUE"""),3.5)</f>
        <v>3.5</v>
      </c>
      <c r="E14" s="10">
        <f>IFERROR(__xludf.DUMMYFUNCTION("""COMPUTED_VALUE"""),4.6)</f>
        <v>4.6</v>
      </c>
      <c r="F14" s="11">
        <f>IFERROR(__xludf.DUMMYFUNCTION("""COMPUTED_VALUE"""),4.0)</f>
        <v>4</v>
      </c>
      <c r="G14" s="1">
        <f>IFERROR(__xludf.DUMMYFUNCTION("""COMPUTED_VALUE"""),4.5)</f>
        <v>4.5</v>
      </c>
      <c r="H14" s="1">
        <f>IFERROR(__xludf.DUMMYFUNCTION("""COMPUTED_VALUE"""),4.1)</f>
        <v>4.1</v>
      </c>
      <c r="I14" s="1">
        <f>IFERROR(__xludf.DUMMYFUNCTION("""COMPUTED_VALUE"""),0.0)</f>
        <v>0</v>
      </c>
      <c r="J14" s="11">
        <f>IFERROR(__xludf.DUMMYFUNCTION("""COMPUTED_VALUE"""),4.6)</f>
        <v>4.6</v>
      </c>
      <c r="K14" s="11">
        <f>IFERROR(__xludf.DUMMYFUNCTION("""COMPUTED_VALUE"""),4.7)</f>
        <v>4.7</v>
      </c>
      <c r="L14" s="11">
        <f>IFERROR(__xludf.DUMMYFUNCTION("""COMPUTED_VALUE"""),4.8)</f>
        <v>4.8</v>
      </c>
      <c r="M14" s="11">
        <f>IFERROR(__xludf.DUMMYFUNCTION("""COMPUTED_VALUE"""),5.0)</f>
        <v>5</v>
      </c>
      <c r="N14" s="11">
        <f>IFERROR(__xludf.DUMMYFUNCTION("""COMPUTED_VALUE"""),3.0)</f>
        <v>3</v>
      </c>
      <c r="O14" s="11"/>
      <c r="P14" s="12">
        <f>IFERROR(__xludf.DUMMYFUNCTION("""COMPUTED_VALUE"""),0.0)</f>
        <v>0</v>
      </c>
      <c r="Q14" s="11"/>
      <c r="R14" s="11">
        <f>IFERROR(__xludf.DUMMYFUNCTION("""COMPUTED_VALUE"""),0.9)</f>
        <v>0.9</v>
      </c>
      <c r="S14" s="11">
        <f>IFERROR(__xludf.DUMMYFUNCTION("""COMPUTED_VALUE"""),2.4)</f>
        <v>2.4</v>
      </c>
      <c r="T14" s="11">
        <f>IFERROR(__xludf.DUMMYFUNCTION("""COMPUTED_VALUE"""),0.0)</f>
        <v>0</v>
      </c>
      <c r="U14" s="11">
        <f>IFERROR(__xludf.DUMMYFUNCTION("""COMPUTED_VALUE"""),0.0)</f>
        <v>0</v>
      </c>
      <c r="V14" s="11"/>
      <c r="W14" s="11"/>
      <c r="X14" s="11"/>
      <c r="Y14" s="11"/>
      <c r="Z14" s="1"/>
      <c r="AA14" s="1" t="str">
        <f>IFERROR(__xludf.DUMMYFUNCTION("""COMPUTED_VALUE"""),"U00189875")</f>
        <v>U00189875</v>
      </c>
    </row>
    <row r="15">
      <c r="A15" s="1">
        <v>14.0</v>
      </c>
      <c r="B15" s="9" t="s">
        <v>15</v>
      </c>
      <c r="C15" s="10">
        <f>IFERROR(__xludf.DUMMYFUNCTION("""COMPUTED_VALUE"""),3.3)</f>
        <v>3.3</v>
      </c>
      <c r="D15" s="11">
        <f>IFERROR(__xludf.DUMMYFUNCTION("""COMPUTED_VALUE"""),1.9)</f>
        <v>1.9</v>
      </c>
      <c r="E15" s="10">
        <f>IFERROR(__xludf.DUMMYFUNCTION("""COMPUTED_VALUE"""),4.7)</f>
        <v>4.7</v>
      </c>
      <c r="F15" s="11">
        <f>IFERROR(__xludf.DUMMYFUNCTION("""COMPUTED_VALUE"""),3.2)</f>
        <v>3.2</v>
      </c>
      <c r="G15" s="1">
        <f>IFERROR(__xludf.DUMMYFUNCTION("""COMPUTED_VALUE"""),4.5)</f>
        <v>4.5</v>
      </c>
      <c r="H15" s="1">
        <f>IFERROR(__xludf.DUMMYFUNCTION("""COMPUTED_VALUE"""),4.9)</f>
        <v>4.9</v>
      </c>
      <c r="I15" s="1">
        <f>IFERROR(__xludf.DUMMYFUNCTION("""COMPUTED_VALUE"""),4.3)</f>
        <v>4.3</v>
      </c>
      <c r="J15" s="11">
        <f>IFERROR(__xludf.DUMMYFUNCTION("""COMPUTED_VALUE"""),4.8)</f>
        <v>4.8</v>
      </c>
      <c r="K15" s="11">
        <f>IFERROR(__xludf.DUMMYFUNCTION("""COMPUTED_VALUE"""),4.3)</f>
        <v>4.3</v>
      </c>
      <c r="L15" s="11">
        <f>IFERROR(__xludf.DUMMYFUNCTION("""COMPUTED_VALUE"""),4.4)</f>
        <v>4.4</v>
      </c>
      <c r="M15" s="11">
        <f>IFERROR(__xludf.DUMMYFUNCTION("""COMPUTED_VALUE"""),5.0)</f>
        <v>5</v>
      </c>
      <c r="N15" s="11">
        <f>IFERROR(__xludf.DUMMYFUNCTION("""COMPUTED_VALUE"""),3.2)</f>
        <v>3.2</v>
      </c>
      <c r="O15" s="11"/>
      <c r="P15" s="12">
        <f>IFERROR(__xludf.DUMMYFUNCTION("""COMPUTED_VALUE"""),4.5)</f>
        <v>4.5</v>
      </c>
      <c r="Q15" s="11"/>
      <c r="R15" s="11">
        <f>IFERROR(__xludf.DUMMYFUNCTION("""COMPUTED_VALUE"""),1.9)</f>
        <v>1.9</v>
      </c>
      <c r="S15" s="11">
        <f>IFERROR(__xludf.DUMMYFUNCTION("""COMPUTED_VALUE"""),2.5)</f>
        <v>2.5</v>
      </c>
      <c r="T15" s="11">
        <f>IFERROR(__xludf.DUMMYFUNCTION("""COMPUTED_VALUE"""),4.5)</f>
        <v>4.5</v>
      </c>
      <c r="U15" s="11">
        <f>IFERROR(__xludf.DUMMYFUNCTION("""COMPUTED_VALUE"""),4.5)</f>
        <v>4.5</v>
      </c>
      <c r="V15" s="11"/>
      <c r="W15" s="11"/>
      <c r="X15" s="11"/>
      <c r="Y15" s="11"/>
      <c r="Z15" s="1"/>
      <c r="AA15" s="1" t="str">
        <f>IFERROR(__xludf.DUMMYFUNCTION("""COMPUTED_VALUE"""),"U00103238")</f>
        <v>U00103238</v>
      </c>
    </row>
    <row r="16">
      <c r="A16" s="1">
        <v>15.0</v>
      </c>
      <c r="B16" s="9" t="s">
        <v>16</v>
      </c>
      <c r="C16" s="10">
        <f>IFERROR(__xludf.DUMMYFUNCTION("""COMPUTED_VALUE"""),4.5)</f>
        <v>4.5</v>
      </c>
      <c r="D16" s="11">
        <f>IFERROR(__xludf.DUMMYFUNCTION("""COMPUTED_VALUE"""),3.8)</f>
        <v>3.8</v>
      </c>
      <c r="E16" s="10">
        <f>IFERROR(__xludf.DUMMYFUNCTION("""COMPUTED_VALUE"""),4.8)</f>
        <v>4.8</v>
      </c>
      <c r="F16" s="11">
        <f>IFERROR(__xludf.DUMMYFUNCTION("""COMPUTED_VALUE"""),4.3)</f>
        <v>4.3</v>
      </c>
      <c r="G16" s="1">
        <f>IFERROR(__xludf.DUMMYFUNCTION("""COMPUTED_VALUE"""),5.0)</f>
        <v>5</v>
      </c>
      <c r="H16" s="1">
        <f>IFERROR(__xludf.DUMMYFUNCTION("""COMPUTED_VALUE"""),5.0)</f>
        <v>5</v>
      </c>
      <c r="I16" s="1">
        <f>IFERROR(__xludf.DUMMYFUNCTION("""COMPUTED_VALUE"""),4.8)</f>
        <v>4.8</v>
      </c>
      <c r="J16" s="11">
        <f>IFERROR(__xludf.DUMMYFUNCTION("""COMPUTED_VALUE"""),4.8)</f>
        <v>4.8</v>
      </c>
      <c r="K16" s="11">
        <f>IFERROR(__xludf.DUMMYFUNCTION("""COMPUTED_VALUE"""),4.5)</f>
        <v>4.5</v>
      </c>
      <c r="L16" s="11">
        <f>IFERROR(__xludf.DUMMYFUNCTION("""COMPUTED_VALUE"""),4.8)</f>
        <v>4.8</v>
      </c>
      <c r="M16" s="11">
        <f>IFERROR(__xludf.DUMMYFUNCTION("""COMPUTED_VALUE"""),4.5)</f>
        <v>4.5</v>
      </c>
      <c r="N16" s="11">
        <f>IFERROR(__xludf.DUMMYFUNCTION("""COMPUTED_VALUE"""),0.0)</f>
        <v>0</v>
      </c>
      <c r="O16" s="11"/>
      <c r="P16" s="12">
        <f>IFERROR(__xludf.DUMMYFUNCTION("""COMPUTED_VALUE"""),0.0)</f>
        <v>0</v>
      </c>
      <c r="Q16" s="11"/>
      <c r="R16" s="11">
        <f>IFERROR(__xludf.DUMMYFUNCTION("""COMPUTED_VALUE"""),0.0)</f>
        <v>0</v>
      </c>
      <c r="S16" s="11">
        <f>IFERROR(__xludf.DUMMYFUNCTION("""COMPUTED_VALUE"""),2.1)</f>
        <v>2.1</v>
      </c>
      <c r="T16" s="11">
        <f>IFERROR(__xludf.DUMMYFUNCTION("""COMPUTED_VALUE"""),0.0)</f>
        <v>0</v>
      </c>
      <c r="U16" s="11">
        <f>IFERROR(__xludf.DUMMYFUNCTION("""COMPUTED_VALUE"""),0.0)</f>
        <v>0</v>
      </c>
      <c r="V16" s="11"/>
      <c r="W16" s="11"/>
      <c r="X16" s="11"/>
      <c r="Y16" s="11"/>
      <c r="Z16" s="1"/>
      <c r="AA16" s="1" t="str">
        <f>IFERROR(__xludf.DUMMYFUNCTION("""COMPUTED_VALUE"""),"U00189280")</f>
        <v>U00189280</v>
      </c>
    </row>
    <row r="17">
      <c r="A17" s="1">
        <v>16.0</v>
      </c>
      <c r="B17" s="9" t="s">
        <v>17</v>
      </c>
      <c r="C17" s="10">
        <f>IFERROR(__xludf.DUMMYFUNCTION("""COMPUTED_VALUE"""),4.3)</f>
        <v>4.3</v>
      </c>
      <c r="D17" s="11">
        <f>IFERROR(__xludf.DUMMYFUNCTION("""COMPUTED_VALUE"""),3.3)</f>
        <v>3.3</v>
      </c>
      <c r="E17" s="10">
        <f>IFERROR(__xludf.DUMMYFUNCTION("""COMPUTED_VALUE"""),2.9)</f>
        <v>2.9</v>
      </c>
      <c r="F17" s="11">
        <f>IFERROR(__xludf.DUMMYFUNCTION("""COMPUTED_VALUE"""),3.5)</f>
        <v>3.5</v>
      </c>
      <c r="G17" s="1">
        <f>IFERROR(__xludf.DUMMYFUNCTION("""COMPUTED_VALUE"""),2.8)</f>
        <v>2.8</v>
      </c>
      <c r="H17" s="1">
        <f>IFERROR(__xludf.DUMMYFUNCTION("""COMPUTED_VALUE"""),0.0)</f>
        <v>0</v>
      </c>
      <c r="I17" s="1">
        <f>IFERROR(__xludf.DUMMYFUNCTION("""COMPUTED_VALUE"""),4.8)</f>
        <v>4.8</v>
      </c>
      <c r="J17" s="11">
        <f>IFERROR(__xludf.DUMMYFUNCTION("""COMPUTED_VALUE"""),0.0)</f>
        <v>0</v>
      </c>
      <c r="K17" s="11">
        <f>IFERROR(__xludf.DUMMYFUNCTION("""COMPUTED_VALUE"""),4.8)</f>
        <v>4.8</v>
      </c>
      <c r="L17" s="11">
        <f>IFERROR(__xludf.DUMMYFUNCTION("""COMPUTED_VALUE"""),5.0)</f>
        <v>5</v>
      </c>
      <c r="M17" s="11">
        <f>IFERROR(__xludf.DUMMYFUNCTION("""COMPUTED_VALUE"""),0.0)</f>
        <v>0</v>
      </c>
      <c r="N17" s="11">
        <f>IFERROR(__xludf.DUMMYFUNCTION("""COMPUTED_VALUE"""),4.0)</f>
        <v>4</v>
      </c>
      <c r="O17" s="11"/>
      <c r="P17" s="12">
        <f>IFERROR(__xludf.DUMMYFUNCTION("""COMPUTED_VALUE"""),5.0)</f>
        <v>5</v>
      </c>
      <c r="Q17" s="11"/>
      <c r="R17" s="11">
        <f>IFERROR(__xludf.DUMMYFUNCTION("""COMPUTED_VALUE"""),2.2)</f>
        <v>2.2</v>
      </c>
      <c r="S17" s="11">
        <f>IFERROR(__xludf.DUMMYFUNCTION("""COMPUTED_VALUE"""),2.8)</f>
        <v>2.8</v>
      </c>
      <c r="T17" s="11">
        <f>IFERROR(__xludf.DUMMYFUNCTION("""COMPUTED_VALUE"""),5.0)</f>
        <v>5</v>
      </c>
      <c r="U17" s="11">
        <f>IFERROR(__xludf.DUMMYFUNCTION("""COMPUTED_VALUE"""),5.0)</f>
        <v>5</v>
      </c>
      <c r="V17" s="11"/>
      <c r="W17" s="11"/>
      <c r="X17" s="11"/>
      <c r="Y17" s="11"/>
      <c r="Z17" s="1"/>
      <c r="AA17" s="1" t="str">
        <f>IFERROR(__xludf.DUMMYFUNCTION("""COMPUTED_VALUE"""),"U00190940")</f>
        <v>U00190940</v>
      </c>
    </row>
    <row r="18">
      <c r="A18" s="1">
        <v>17.0</v>
      </c>
      <c r="B18" s="9" t="s">
        <v>18</v>
      </c>
      <c r="C18" s="10">
        <f>IFERROR(__xludf.DUMMYFUNCTION("""COMPUTED_VALUE"""),5.0)</f>
        <v>5</v>
      </c>
      <c r="D18" s="11">
        <f>IFERROR(__xludf.DUMMYFUNCTION("""COMPUTED_VALUE"""),5.0)</f>
        <v>5</v>
      </c>
      <c r="E18" s="10">
        <f>IFERROR(__xludf.DUMMYFUNCTION("""COMPUTED_VALUE"""),2.3)</f>
        <v>2.3</v>
      </c>
      <c r="F18" s="11">
        <f>IFERROR(__xludf.DUMMYFUNCTION("""COMPUTED_VALUE"""),4.2)</f>
        <v>4.2</v>
      </c>
      <c r="G18" s="1">
        <f>IFERROR(__xludf.DUMMYFUNCTION("""COMPUTED_VALUE"""),4.7)</f>
        <v>4.7</v>
      </c>
      <c r="H18" s="1">
        <f>IFERROR(__xludf.DUMMYFUNCTION("""COMPUTED_VALUE"""),4.3)</f>
        <v>4.3</v>
      </c>
      <c r="I18" s="1">
        <f>IFERROR(__xludf.DUMMYFUNCTION("""COMPUTED_VALUE"""),0.0)</f>
        <v>0</v>
      </c>
      <c r="J18" s="11">
        <f>IFERROR(__xludf.DUMMYFUNCTION("""COMPUTED_VALUE"""),0.0)</f>
        <v>0</v>
      </c>
      <c r="K18" s="11">
        <f>IFERROR(__xludf.DUMMYFUNCTION("""COMPUTED_VALUE"""),0.0)</f>
        <v>0</v>
      </c>
      <c r="L18" s="11">
        <f>IFERROR(__xludf.DUMMYFUNCTION("""COMPUTED_VALUE"""),0.0)</f>
        <v>0</v>
      </c>
      <c r="M18" s="11">
        <f>IFERROR(__xludf.DUMMYFUNCTION("""COMPUTED_VALUE"""),5.0)</f>
        <v>5</v>
      </c>
      <c r="N18" s="11">
        <f>IFERROR(__xludf.DUMMYFUNCTION("""COMPUTED_VALUE"""),3.5)</f>
        <v>3.5</v>
      </c>
      <c r="O18" s="11"/>
      <c r="P18" s="12">
        <f>IFERROR(__xludf.DUMMYFUNCTION("""COMPUTED_VALUE"""),0.0)</f>
        <v>0</v>
      </c>
      <c r="Q18" s="11"/>
      <c r="R18" s="11">
        <f>IFERROR(__xludf.DUMMYFUNCTION("""COMPUTED_VALUE"""),1.1)</f>
        <v>1.1</v>
      </c>
      <c r="S18" s="11">
        <f>IFERROR(__xludf.DUMMYFUNCTION("""COMPUTED_VALUE"""),2.6)</f>
        <v>2.6</v>
      </c>
      <c r="T18" s="11">
        <f>IFERROR(__xludf.DUMMYFUNCTION("""COMPUTED_VALUE"""),0.0)</f>
        <v>0</v>
      </c>
      <c r="U18" s="11">
        <f>IFERROR(__xludf.DUMMYFUNCTION("""COMPUTED_VALUE"""),0.0)</f>
        <v>0</v>
      </c>
      <c r="V18" s="11"/>
      <c r="W18" s="11"/>
      <c r="X18" s="11"/>
      <c r="Y18" s="11"/>
      <c r="Z18" s="1"/>
      <c r="AA18" s="1" t="str">
        <f>IFERROR(__xludf.DUMMYFUNCTION("""COMPUTED_VALUE"""),"U00176463")</f>
        <v>U00176463</v>
      </c>
    </row>
    <row r="19">
      <c r="A19" s="1">
        <v>18.0</v>
      </c>
      <c r="B19" s="9" t="s">
        <v>19</v>
      </c>
      <c r="C19" s="10">
        <f>IFERROR(__xludf.DUMMYFUNCTION("""COMPUTED_VALUE"""),2.6)</f>
        <v>2.6</v>
      </c>
      <c r="D19" s="11">
        <f>IFERROR(__xludf.DUMMYFUNCTION("""COMPUTED_VALUE"""),3.3)</f>
        <v>3.3</v>
      </c>
      <c r="E19" s="10">
        <f>IFERROR(__xludf.DUMMYFUNCTION("""COMPUTED_VALUE"""),4.7)</f>
        <v>4.7</v>
      </c>
      <c r="F19" s="11">
        <f>IFERROR(__xludf.DUMMYFUNCTION("""COMPUTED_VALUE"""),3.5)</f>
        <v>3.5</v>
      </c>
      <c r="G19" s="1">
        <f>IFERROR(__xludf.DUMMYFUNCTION("""COMPUTED_VALUE"""),3.0)</f>
        <v>3</v>
      </c>
      <c r="H19" s="1">
        <f>IFERROR(__xludf.DUMMYFUNCTION("""COMPUTED_VALUE"""),4.8)</f>
        <v>4.8</v>
      </c>
      <c r="I19" s="1">
        <f>IFERROR(__xludf.DUMMYFUNCTION("""COMPUTED_VALUE"""),4.8)</f>
        <v>4.8</v>
      </c>
      <c r="J19" s="11">
        <f>IFERROR(__xludf.DUMMYFUNCTION("""COMPUTED_VALUE"""),5.0)</f>
        <v>5</v>
      </c>
      <c r="K19" s="11">
        <f>IFERROR(__xludf.DUMMYFUNCTION("""COMPUTED_VALUE"""),4.0)</f>
        <v>4</v>
      </c>
      <c r="L19" s="11">
        <f>IFERROR(__xludf.DUMMYFUNCTION("""COMPUTED_VALUE"""),4.5)</f>
        <v>4.5</v>
      </c>
      <c r="M19" s="11">
        <f>IFERROR(__xludf.DUMMYFUNCTION("""COMPUTED_VALUE"""),5.0)</f>
        <v>5</v>
      </c>
      <c r="N19" s="11">
        <f>IFERROR(__xludf.DUMMYFUNCTION("""COMPUTED_VALUE"""),3.0)</f>
        <v>3</v>
      </c>
      <c r="O19" s="11"/>
      <c r="P19" s="12">
        <f>IFERROR(__xludf.DUMMYFUNCTION("""COMPUTED_VALUE"""),4.1)</f>
        <v>4.1</v>
      </c>
      <c r="Q19" s="11"/>
      <c r="R19" s="11">
        <f>IFERROR(__xludf.DUMMYFUNCTION("""COMPUTED_VALUE"""),1.7)</f>
        <v>1.7</v>
      </c>
      <c r="S19" s="11">
        <f>IFERROR(__xludf.DUMMYFUNCTION("""COMPUTED_VALUE"""),2.6)</f>
        <v>2.6</v>
      </c>
      <c r="T19" s="11">
        <f>IFERROR(__xludf.DUMMYFUNCTION("""COMPUTED_VALUE"""),3.8)</f>
        <v>3.8</v>
      </c>
      <c r="U19" s="11">
        <f>IFERROR(__xludf.DUMMYFUNCTION("""COMPUTED_VALUE"""),4.3)</f>
        <v>4.3</v>
      </c>
      <c r="V19" s="11"/>
      <c r="W19" s="11"/>
      <c r="X19" s="11"/>
      <c r="Y19" s="11"/>
      <c r="Z19" s="1"/>
      <c r="AA19" s="1" t="str">
        <f>IFERROR(__xludf.DUMMYFUNCTION("""COMPUTED_VALUE"""),"U00190490")</f>
        <v>U00190490</v>
      </c>
    </row>
    <row r="20">
      <c r="A20" s="1">
        <v>19.0</v>
      </c>
      <c r="B20" s="9" t="s">
        <v>20</v>
      </c>
      <c r="C20" s="10">
        <f>IFERROR(__xludf.DUMMYFUNCTION("""COMPUTED_VALUE"""),4.3)</f>
        <v>4.3</v>
      </c>
      <c r="D20" s="11">
        <f>IFERROR(__xludf.DUMMYFUNCTION("""COMPUTED_VALUE"""),4.6)</f>
        <v>4.6</v>
      </c>
      <c r="E20" s="10">
        <f>IFERROR(__xludf.DUMMYFUNCTION("""COMPUTED_VALUE"""),3.3)</f>
        <v>3.3</v>
      </c>
      <c r="F20" s="11">
        <f>IFERROR(__xludf.DUMMYFUNCTION("""COMPUTED_VALUE"""),4.1)</f>
        <v>4.1</v>
      </c>
      <c r="G20" s="1">
        <f>IFERROR(__xludf.DUMMYFUNCTION("""COMPUTED_VALUE"""),0.0)</f>
        <v>0</v>
      </c>
      <c r="H20" s="1">
        <f>IFERROR(__xludf.DUMMYFUNCTION("""COMPUTED_VALUE"""),3.6)</f>
        <v>3.6</v>
      </c>
      <c r="I20" s="1">
        <f>IFERROR(__xludf.DUMMYFUNCTION("""COMPUTED_VALUE"""),3.9)</f>
        <v>3.9</v>
      </c>
      <c r="J20" s="11">
        <f>IFERROR(__xludf.DUMMYFUNCTION("""COMPUTED_VALUE"""),3.6)</f>
        <v>3.6</v>
      </c>
      <c r="K20" s="11">
        <f>IFERROR(__xludf.DUMMYFUNCTION("""COMPUTED_VALUE"""),3.9)</f>
        <v>3.9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>
        <f>IFERROR(__xludf.DUMMYFUNCTION("""COMPUTED_VALUE"""),3.0)</f>
        <v>3</v>
      </c>
      <c r="O20" s="11"/>
      <c r="P20" s="12">
        <f>IFERROR(__xludf.DUMMYFUNCTION("""COMPUTED_VALUE"""),0.0)</f>
        <v>0</v>
      </c>
      <c r="Q20" s="11"/>
      <c r="R20" s="11">
        <f>IFERROR(__xludf.DUMMYFUNCTION("""COMPUTED_VALUE"""),0.9)</f>
        <v>0.9</v>
      </c>
      <c r="S20" s="11">
        <f>IFERROR(__xludf.DUMMYFUNCTION("""COMPUTED_VALUE"""),2.5)</f>
        <v>2.5</v>
      </c>
      <c r="T20" s="11">
        <f>IFERROR(__xludf.DUMMYFUNCTION("""COMPUTED_VALUE"""),0.0)</f>
        <v>0</v>
      </c>
      <c r="U20" s="11">
        <f>IFERROR(__xludf.DUMMYFUNCTION("""COMPUTED_VALUE"""),0.0)</f>
        <v>0</v>
      </c>
      <c r="V20" s="11"/>
      <c r="W20" s="11"/>
      <c r="X20" s="11"/>
      <c r="Y20" s="11"/>
      <c r="Z20" s="1"/>
      <c r="AA20" s="1" t="str">
        <f>IFERROR(__xludf.DUMMYFUNCTION("""COMPUTED_VALUE"""),"U00132098")</f>
        <v>U00132098</v>
      </c>
    </row>
    <row r="21">
      <c r="A21" s="1">
        <v>20.0</v>
      </c>
      <c r="B21" s="9" t="s">
        <v>21</v>
      </c>
      <c r="C21" s="10">
        <f>IFERROR(__xludf.DUMMYFUNCTION("""COMPUTED_VALUE"""),4.6)</f>
        <v>4.6</v>
      </c>
      <c r="D21" s="11">
        <f>IFERROR(__xludf.DUMMYFUNCTION("""COMPUTED_VALUE"""),2.0)</f>
        <v>2</v>
      </c>
      <c r="E21" s="10">
        <f>IFERROR(__xludf.DUMMYFUNCTION("""COMPUTED_VALUE"""),2.4)</f>
        <v>2.4</v>
      </c>
      <c r="F21" s="11">
        <f>IFERROR(__xludf.DUMMYFUNCTION("""COMPUTED_VALUE"""),3.0)</f>
        <v>3</v>
      </c>
      <c r="G21" s="1">
        <f>IFERROR(__xludf.DUMMYFUNCTION("""COMPUTED_VALUE"""),0.0)</f>
        <v>0</v>
      </c>
      <c r="H21" s="1">
        <f>IFERROR(__xludf.DUMMYFUNCTION("""COMPUTED_VALUE"""),0.0)</f>
        <v>0</v>
      </c>
      <c r="I21" s="1">
        <f>IFERROR(__xludf.DUMMYFUNCTION("""COMPUTED_VALUE"""),4.8)</f>
        <v>4.8</v>
      </c>
      <c r="J21" s="11">
        <f>IFERROR(__xludf.DUMMYFUNCTION("""COMPUTED_VALUE"""),4.8)</f>
        <v>4.8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IFERROR(__xludf.DUMMYFUNCTION("""COMPUTED_VALUE"""),5.0)</f>
        <v>5</v>
      </c>
      <c r="N21" s="11">
        <f>IFERROR(__xludf.DUMMYFUNCTION("""COMPUTED_VALUE"""),4.8)</f>
        <v>4.8</v>
      </c>
      <c r="O21" s="11"/>
      <c r="P21" s="12">
        <f>IFERROR(__xludf.DUMMYFUNCTION("""COMPUTED_VALUE"""),4.5)</f>
        <v>4.5</v>
      </c>
      <c r="Q21" s="11"/>
      <c r="R21" s="11">
        <f>IFERROR(__xludf.DUMMYFUNCTION("""COMPUTED_VALUE"""),2.3)</f>
        <v>2.3</v>
      </c>
      <c r="S21" s="11">
        <f>IFERROR(__xludf.DUMMYFUNCTION("""COMPUTED_VALUE"""),2.6)</f>
        <v>2.6</v>
      </c>
      <c r="T21" s="11">
        <f>IFERROR(__xludf.DUMMYFUNCTION("""COMPUTED_VALUE"""),4.8)</f>
        <v>4.8</v>
      </c>
      <c r="U21" s="11">
        <f>IFERROR(__xludf.DUMMYFUNCTION("""COMPUTED_VALUE"""),4.2)</f>
        <v>4.2</v>
      </c>
      <c r="V21" s="11"/>
      <c r="W21" s="11"/>
      <c r="X21" s="11"/>
      <c r="Y21" s="11"/>
      <c r="Z21" s="1"/>
      <c r="AA21" s="1" t="str">
        <f>IFERROR(__xludf.DUMMYFUNCTION("""COMPUTED_VALUE"""),"U00190924")</f>
        <v>U00190924</v>
      </c>
    </row>
    <row r="22">
      <c r="A22" s="1">
        <v>21.0</v>
      </c>
      <c r="B22" s="9" t="s">
        <v>22</v>
      </c>
      <c r="C22" s="10">
        <f>IFERROR(__xludf.DUMMYFUNCTION("""COMPUTED_VALUE"""),5.0)</f>
        <v>5</v>
      </c>
      <c r="D22" s="11">
        <f>IFERROR(__xludf.DUMMYFUNCTION("""COMPUTED_VALUE"""),5.0)</f>
        <v>5</v>
      </c>
      <c r="E22" s="10">
        <f>IFERROR(__xludf.DUMMYFUNCTION("""COMPUTED_VALUE"""),4.7)</f>
        <v>4.7</v>
      </c>
      <c r="F22" s="11">
        <f>IFERROR(__xludf.DUMMYFUNCTION("""COMPUTED_VALUE"""),4.9)</f>
        <v>4.9</v>
      </c>
      <c r="G22" s="1">
        <f>IFERROR(__xludf.DUMMYFUNCTION("""COMPUTED_VALUE"""),3.8)</f>
        <v>3.8</v>
      </c>
      <c r="H22" s="1">
        <f>IFERROR(__xludf.DUMMYFUNCTION("""COMPUTED_VALUE"""),5.0)</f>
        <v>5</v>
      </c>
      <c r="I22" s="1">
        <f>IFERROR(__xludf.DUMMYFUNCTION("""COMPUTED_VALUE"""),5.0)</f>
        <v>5</v>
      </c>
      <c r="J22" s="11">
        <f>IFERROR(__xludf.DUMMYFUNCTION("""COMPUTED_VALUE"""),4.5)</f>
        <v>4.5</v>
      </c>
      <c r="K22" s="11">
        <f>IFERROR(__xludf.DUMMYFUNCTION("""COMPUTED_VALUE"""),5.0)</f>
        <v>5</v>
      </c>
      <c r="L22" s="11">
        <f>IFERROR(__xludf.DUMMYFUNCTION("""COMPUTED_VALUE"""),0.0)</f>
        <v>0</v>
      </c>
      <c r="M22" s="11">
        <f>IFERROR(__xludf.DUMMYFUNCTION("""COMPUTED_VALUE"""),5.0)</f>
        <v>5</v>
      </c>
      <c r="N22" s="11">
        <f>IFERROR(__xludf.DUMMYFUNCTION("""COMPUTED_VALUE"""),5.0)</f>
        <v>5</v>
      </c>
      <c r="O22" s="11"/>
      <c r="P22" s="12">
        <f>IFERROR(__xludf.DUMMYFUNCTION("""COMPUTED_VALUE"""),4.8)</f>
        <v>4.8</v>
      </c>
      <c r="Q22" s="11"/>
      <c r="R22" s="11">
        <f>IFERROR(__xludf.DUMMYFUNCTION("""COMPUTED_VALUE"""),2.5)</f>
        <v>2.5</v>
      </c>
      <c r="S22" s="11">
        <f>IFERROR(__xludf.DUMMYFUNCTION("""COMPUTED_VALUE"""),3.7)</f>
        <v>3.7</v>
      </c>
      <c r="T22" s="11">
        <f>IFERROR(__xludf.DUMMYFUNCTION("""COMPUTED_VALUE"""),4.8)</f>
        <v>4.8</v>
      </c>
      <c r="U22" s="11">
        <f>IFERROR(__xludf.DUMMYFUNCTION("""COMPUTED_VALUE"""),4.8)</f>
        <v>4.8</v>
      </c>
      <c r="V22" s="11"/>
      <c r="W22" s="11"/>
      <c r="X22" s="11"/>
      <c r="Y22" s="11"/>
      <c r="Z22" s="1"/>
      <c r="AA22" s="1" t="str">
        <f>IFERROR(__xludf.DUMMYFUNCTION("""COMPUTED_VALUE"""),"U00190000")</f>
        <v>U00190000</v>
      </c>
    </row>
    <row r="23">
      <c r="A23" s="1">
        <v>22.0</v>
      </c>
      <c r="B23" s="9" t="s">
        <v>23</v>
      </c>
      <c r="C23" s="10">
        <f>IFERROR(__xludf.DUMMYFUNCTION("""COMPUTED_VALUE"""),3.8)</f>
        <v>3.8</v>
      </c>
      <c r="D23" s="11">
        <f>IFERROR(__xludf.DUMMYFUNCTION("""COMPUTED_VALUE"""),3.7)</f>
        <v>3.7</v>
      </c>
      <c r="E23" s="10">
        <f>IFERROR(__xludf.DUMMYFUNCTION("""COMPUTED_VALUE"""),4.1)</f>
        <v>4.1</v>
      </c>
      <c r="F23" s="11">
        <f>IFERROR(__xludf.DUMMYFUNCTION("""COMPUTED_VALUE"""),3.9)</f>
        <v>3.9</v>
      </c>
      <c r="G23" s="1">
        <f>IFERROR(__xludf.DUMMYFUNCTION("""COMPUTED_VALUE"""),4.8)</f>
        <v>4.8</v>
      </c>
      <c r="H23" s="1">
        <f>IFERROR(__xludf.DUMMYFUNCTION("""COMPUTED_VALUE"""),4.9)</f>
        <v>4.9</v>
      </c>
      <c r="I23" s="1">
        <f>IFERROR(__xludf.DUMMYFUNCTION("""COMPUTED_VALUE"""),0.0)</f>
        <v>0</v>
      </c>
      <c r="J23" s="11">
        <f>IFERROR(__xludf.DUMMYFUNCTION("""COMPUTED_VALUE"""),5.0)</f>
        <v>5</v>
      </c>
      <c r="K23" s="11">
        <f>IFERROR(__xludf.DUMMYFUNCTION("""COMPUTED_VALUE"""),0.0)</f>
        <v>0</v>
      </c>
      <c r="L23" s="11">
        <f>IFERROR(__xludf.DUMMYFUNCTION("""COMPUTED_VALUE"""),4.8)</f>
        <v>4.8</v>
      </c>
      <c r="M23" s="11">
        <f>IFERROR(__xludf.DUMMYFUNCTION("""COMPUTED_VALUE"""),5.0)</f>
        <v>5</v>
      </c>
      <c r="N23" s="11">
        <f>IFERROR(__xludf.DUMMYFUNCTION("""COMPUTED_VALUE"""),3.6)</f>
        <v>3.6</v>
      </c>
      <c r="O23" s="11"/>
      <c r="P23" s="12">
        <f>IFERROR(__xludf.DUMMYFUNCTION("""COMPUTED_VALUE"""),4.6)</f>
        <v>4.6</v>
      </c>
      <c r="Q23" s="11"/>
      <c r="R23" s="11">
        <f>IFERROR(__xludf.DUMMYFUNCTION("""COMPUTED_VALUE"""),2.0)</f>
        <v>2</v>
      </c>
      <c r="S23" s="11">
        <f>IFERROR(__xludf.DUMMYFUNCTION("""COMPUTED_VALUE"""),2.9)</f>
        <v>2.9</v>
      </c>
      <c r="T23" s="11">
        <f>IFERROR(__xludf.DUMMYFUNCTION("""COMPUTED_VALUE"""),4.5)</f>
        <v>4.5</v>
      </c>
      <c r="U23" s="11">
        <f>IFERROR(__xludf.DUMMYFUNCTION("""COMPUTED_VALUE"""),4.6)</f>
        <v>4.6</v>
      </c>
      <c r="V23" s="11"/>
      <c r="W23" s="11"/>
      <c r="X23" s="11"/>
      <c r="Y23" s="11"/>
      <c r="Z23" s="1"/>
      <c r="AA23" s="1" t="str">
        <f>IFERROR(__xludf.DUMMYFUNCTION("""COMPUTED_VALUE"""),"U00189536")</f>
        <v>U00189536</v>
      </c>
    </row>
    <row r="24">
      <c r="A24" s="1">
        <v>23.0</v>
      </c>
      <c r="B24" s="9" t="s">
        <v>24</v>
      </c>
      <c r="C24" s="10">
        <f>IFERROR(__xludf.DUMMYFUNCTION("""COMPUTED_VALUE"""),5.0)</f>
        <v>5</v>
      </c>
      <c r="D24" s="11">
        <f>IFERROR(__xludf.DUMMYFUNCTION("""COMPUTED_VALUE"""),3.8)</f>
        <v>3.8</v>
      </c>
      <c r="E24" s="10">
        <f>IFERROR(__xludf.DUMMYFUNCTION("""COMPUTED_VALUE"""),3.4)</f>
        <v>3.4</v>
      </c>
      <c r="F24" s="11">
        <f>IFERROR(__xludf.DUMMYFUNCTION("""COMPUTED_VALUE"""),4.1)</f>
        <v>4.1</v>
      </c>
      <c r="G24" s="1">
        <f>IFERROR(__xludf.DUMMYFUNCTION("""COMPUTED_VALUE"""),5.0)</f>
        <v>5</v>
      </c>
      <c r="H24" s="1">
        <f>IFERROR(__xludf.DUMMYFUNCTION("""COMPUTED_VALUE"""),0.0)</f>
        <v>0</v>
      </c>
      <c r="I24" s="1">
        <f>IFERROR(__xludf.DUMMYFUNCTION("""COMPUTED_VALUE"""),0.0)</f>
        <v>0</v>
      </c>
      <c r="J24" s="11">
        <f>IFERROR(__xludf.DUMMYFUNCTION("""COMPUTED_VALUE"""),4.6)</f>
        <v>4.6</v>
      </c>
      <c r="K24" s="11">
        <f>IFERROR(__xludf.DUMMYFUNCTION("""COMPUTED_VALUE"""),4.0)</f>
        <v>4</v>
      </c>
      <c r="L24" s="11">
        <f>IFERROR(__xludf.DUMMYFUNCTION("""COMPUTED_VALUE"""),1.8)</f>
        <v>1.8</v>
      </c>
      <c r="M24" s="11">
        <f>IFERROR(__xludf.DUMMYFUNCTION("""COMPUTED_VALUE"""),5.0)</f>
        <v>5</v>
      </c>
      <c r="N24" s="11">
        <f>IFERROR(__xludf.DUMMYFUNCTION("""COMPUTED_VALUE"""),1.0)</f>
        <v>1</v>
      </c>
      <c r="O24" s="11"/>
      <c r="P24" s="12">
        <f>IFERROR(__xludf.DUMMYFUNCTION("""COMPUTED_VALUE"""),4.8)</f>
        <v>4.8</v>
      </c>
      <c r="Q24" s="11"/>
      <c r="R24" s="11">
        <f>IFERROR(__xludf.DUMMYFUNCTION("""COMPUTED_VALUE"""),1.3)</f>
        <v>1.3</v>
      </c>
      <c r="S24" s="11">
        <f>IFERROR(__xludf.DUMMYFUNCTION("""COMPUTED_VALUE"""),2.7)</f>
        <v>2.7</v>
      </c>
      <c r="T24" s="11">
        <f>IFERROR(__xludf.DUMMYFUNCTION("""COMPUTED_VALUE"""),4.8)</f>
        <v>4.8</v>
      </c>
      <c r="U24" s="11">
        <f>IFERROR(__xludf.DUMMYFUNCTION("""COMPUTED_VALUE"""),4.8)</f>
        <v>4.8</v>
      </c>
      <c r="V24" s="11"/>
      <c r="W24" s="11"/>
      <c r="X24" s="11"/>
      <c r="Y24" s="11"/>
      <c r="Z24" s="1"/>
      <c r="AA24" s="1" t="str">
        <f>IFERROR(__xludf.DUMMYFUNCTION("""COMPUTED_VALUE"""),"U00165906")</f>
        <v>U00165906</v>
      </c>
    </row>
    <row r="25"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8" width="5.0"/>
    <col customWidth="1" min="19" max="19" width="5.75"/>
    <col customWidth="1" min="20" max="24" width="5.0"/>
    <col customWidth="1" min="25" max="25" width="9.13"/>
    <col customWidth="1" min="26" max="26" width="9.75"/>
    <col customWidth="1" min="27" max="27" width="6.63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IFERROR(__xludf.DUMMYFUNCTION("IMPORTRANGE(""1vS2gE-mc1A6CX14zq-8uhU927dLafFRogBm_03E8occ"",""CDIF!C1:AA24"")"),"P1")</f>
        <v>P1</v>
      </c>
      <c r="D1" s="1" t="str">
        <f>IFERROR(__xludf.DUMMYFUNCTION("""COMPUTED_VALUE"""),"P2")</f>
        <v>P2</v>
      </c>
      <c r="E1" s="10" t="str">
        <f>IFERROR(__xludf.DUMMYFUNCTION("""COMPUTED_VALUE"""),"PQT1")</f>
        <v>PQT1</v>
      </c>
      <c r="F1" s="1" t="str">
        <f>IFERROR(__xludf.DUMMYFUNCTION("""COMPUTED_VALUE"""),"CN")</f>
        <v>CN</v>
      </c>
      <c r="G1" s="1" t="str">
        <f>IFERROR(__xludf.DUMMYFUNCTION("""COMPUTED_VALUE"""),"1CTE")</f>
        <v>1CTE</v>
      </c>
      <c r="H1" s="1" t="str">
        <f>IFERROR(__xludf.DUMMYFUNCTION("""COMPUTED_VALUE"""),"Ta1")</f>
        <v>Ta1</v>
      </c>
      <c r="I1" s="1" t="str">
        <f>IFERROR(__xludf.DUMMYFUNCTION("""COMPUTED_VALUE"""),"Ta2")</f>
        <v>Ta2</v>
      </c>
      <c r="J1" s="1" t="str">
        <f>IFERROR(__xludf.DUMMYFUNCTION("""COMPUTED_VALUE"""),"Ta3")</f>
        <v>Ta3</v>
      </c>
      <c r="K1" s="1" t="str">
        <f>IFERROR(__xludf.DUMMYFUNCTION("""COMPUTED_VALUE"""),"Ta4")</f>
        <v>Ta4</v>
      </c>
      <c r="L1" s="1" t="str">
        <f>IFERROR(__xludf.DUMMYFUNCTION("""COMPUTED_VALUE"""),"Ta5")</f>
        <v>Ta5</v>
      </c>
      <c r="M1" s="1" t="str">
        <f>IFERROR(__xludf.DUMMYFUNCTION("""COMPUTED_VALUE"""),"P3")</f>
        <v>P3</v>
      </c>
      <c r="N1" s="1" t="str">
        <f>IFERROR(__xludf.DUMMYFUNCTION("""COMPUTED_VALUE"""),"P4")</f>
        <v>P4</v>
      </c>
      <c r="O1" s="1" t="str">
        <f>IFERROR(__xludf.DUMMYFUNCTION("""COMPUTED_VALUE"""),"PQT2")</f>
        <v>PQT2</v>
      </c>
      <c r="P1" s="1" t="str">
        <f>IFERROR(__xludf.DUMMYFUNCTION("""COMPUTED_VALUE"""),"PA")</f>
        <v>PA</v>
      </c>
      <c r="Q1" s="1" t="str">
        <f>IFERROR(__xludf.DUMMYFUNCTION("""COMPUTED_VALUE"""),"2CTE")</f>
        <v>2CTE</v>
      </c>
      <c r="R1" s="1" t="str">
        <f>IFERROR(__xludf.DUMMYFUNCTION("""COMPUTED_VALUE"""),"FINAL")</f>
        <v>FINAL</v>
      </c>
      <c r="S1" s="1" t="str">
        <f>IFERROR(__xludf.DUMMYFUNCTION("""COMPUTED_VALUE"""),"Ta6")</f>
        <v>Ta6</v>
      </c>
      <c r="T1" s="1" t="str">
        <f>IFERROR(__xludf.DUMMYFUNCTION("""COMPUTED_VALUE"""),"Ta7")</f>
        <v>Ta7</v>
      </c>
      <c r="U1" s="1" t="str">
        <f>IFERROR(__xludf.DUMMYFUNCTION("""COMPUTED_VALUE"""),"Ta8")</f>
        <v>Ta8</v>
      </c>
      <c r="V1" s="1" t="str">
        <f>IFERROR(__xludf.DUMMYFUNCTION("""COMPUTED_VALUE"""),"Ta9")</f>
        <v>Ta9</v>
      </c>
      <c r="W1" s="1" t="str">
        <f>IFERROR(__xludf.DUMMYFUNCTION("""COMPUTED_VALUE"""),"Ta10")</f>
        <v>Ta10</v>
      </c>
      <c r="X1" s="1" t="str">
        <f>IFERROR(__xludf.DUMMYFUNCTION("""COMPUTED_VALUE"""),"Ta11")</f>
        <v>Ta11</v>
      </c>
      <c r="Y1" s="1" t="str">
        <f>IFERROR(__xludf.DUMMYFUNCTION("""COMPUTED_VALUE"""),"ID")</f>
        <v>ID</v>
      </c>
      <c r="Z1" s="15" t="str">
        <f>IFERROR(__xludf.DUMMYFUNCTION("""COMPUTED_VALUE"""),"NRC")</f>
        <v>NRC</v>
      </c>
      <c r="AA1" s="15" t="str">
        <f>IFERROR(__xludf.DUMMYFUNCTION("""COMPUTED_VALUE"""),"P1")</f>
        <v>P1</v>
      </c>
    </row>
    <row r="2">
      <c r="A2" s="14">
        <v>1.0</v>
      </c>
      <c r="B2" s="14" t="s">
        <v>25</v>
      </c>
      <c r="C2" s="10">
        <f>IFERROR(__xludf.DUMMYFUNCTION("""COMPUTED_VALUE"""),4.8)</f>
        <v>4.8</v>
      </c>
      <c r="D2" s="11">
        <f>IFERROR(__xludf.DUMMYFUNCTION("""COMPUTED_VALUE"""),5.0)</f>
        <v>5</v>
      </c>
      <c r="E2" s="10">
        <f>IFERROR(__xludf.DUMMYFUNCTION("""COMPUTED_VALUE"""),1.9)</f>
        <v>1.9</v>
      </c>
      <c r="F2" s="11"/>
      <c r="G2" s="11">
        <f>IFERROR(__xludf.DUMMYFUNCTION("""COMPUTED_VALUE"""),4.0)</f>
        <v>4</v>
      </c>
      <c r="H2" s="1">
        <f>IFERROR(__xludf.DUMMYFUNCTION("""COMPUTED_VALUE"""),5.0)</f>
        <v>5</v>
      </c>
      <c r="I2" s="1">
        <f>IFERROR(__xludf.DUMMYFUNCTION("""COMPUTED_VALUE"""),0.0)</f>
        <v>0</v>
      </c>
      <c r="J2" s="11">
        <f>IFERROR(__xludf.DUMMYFUNCTION("""COMPUTED_VALUE"""),0.0)</f>
        <v>0</v>
      </c>
      <c r="K2" s="11">
        <f>IFERROR(__xludf.DUMMYFUNCTION("""COMPUTED_VALUE"""),0.0)</f>
        <v>0</v>
      </c>
      <c r="L2" s="11">
        <f>IFERROR(__xludf.DUMMYFUNCTION("""COMPUTED_VALUE"""),4.3)</f>
        <v>4.3</v>
      </c>
      <c r="M2" s="11">
        <f>IFERROR(__xludf.DUMMYFUNCTION("""COMPUTED_VALUE"""),5.0)</f>
        <v>5</v>
      </c>
      <c r="N2" s="11"/>
      <c r="O2" s="12">
        <f>IFERROR(__xludf.DUMMYFUNCTION("""COMPUTED_VALUE"""),3.6)</f>
        <v>3.6</v>
      </c>
      <c r="P2" s="11"/>
      <c r="Q2" s="11">
        <f>IFERROR(__xludf.DUMMYFUNCTION("""COMPUTED_VALUE"""),2.2)</f>
        <v>2.2</v>
      </c>
      <c r="R2" s="11">
        <f>IFERROR(__xludf.DUMMYFUNCTION("""COMPUTED_VALUE"""),3.1)</f>
        <v>3.1</v>
      </c>
      <c r="S2" s="11">
        <f>IFERROR(__xludf.DUMMYFUNCTION("""COMPUTED_VALUE"""),5.0)</f>
        <v>5</v>
      </c>
      <c r="T2" s="11">
        <f>IFERROR(__xludf.DUMMYFUNCTION("""COMPUTED_VALUE"""),4.2)</f>
        <v>4.2</v>
      </c>
      <c r="U2" s="11">
        <f>IFERROR(__xludf.DUMMYFUNCTION("""COMPUTED_VALUE"""),0.0)</f>
        <v>0</v>
      </c>
      <c r="V2" s="11">
        <f>IFERROR(__xludf.DUMMYFUNCTION("""COMPUTED_VALUE"""),5.0)</f>
        <v>5</v>
      </c>
      <c r="W2" s="11"/>
      <c r="X2" s="11"/>
      <c r="Y2" s="11" t="str">
        <f>IFERROR(__xludf.DUMMYFUNCTION("""COMPUTED_VALUE"""),"U00194619")</f>
        <v>U00194619</v>
      </c>
      <c r="Z2" s="15">
        <f>IFERROR(__xludf.DUMMYFUNCTION("""COMPUTED_VALUE"""),55581.0)</f>
        <v>55581</v>
      </c>
      <c r="AA2" s="15">
        <f>IFERROR(__xludf.DUMMYFUNCTION("""COMPUTED_VALUE"""),4.3)</f>
        <v>4.3</v>
      </c>
    </row>
    <row r="3">
      <c r="A3" s="14">
        <v>2.0</v>
      </c>
      <c r="B3" s="14" t="s">
        <v>26</v>
      </c>
      <c r="C3" s="10">
        <f>IFERROR(__xludf.DUMMYFUNCTION("""COMPUTED_VALUE"""),1.5)</f>
        <v>1.5</v>
      </c>
      <c r="D3" s="11">
        <f>IFERROR(__xludf.DUMMYFUNCTION("""COMPUTED_VALUE"""),0.9)</f>
        <v>0.9</v>
      </c>
      <c r="E3" s="10">
        <f>IFERROR(__xludf.DUMMYFUNCTION("""COMPUTED_VALUE"""),2.6)</f>
        <v>2.6</v>
      </c>
      <c r="F3" s="11"/>
      <c r="G3" s="11">
        <f>IFERROR(__xludf.DUMMYFUNCTION("""COMPUTED_VALUE"""),1.6)</f>
        <v>1.6</v>
      </c>
      <c r="H3" s="1">
        <f>IFERROR(__xludf.DUMMYFUNCTION("""COMPUTED_VALUE"""),0.0)</f>
        <v>0</v>
      </c>
      <c r="I3" s="1">
        <f>IFERROR(__xludf.DUMMYFUNCTION("""COMPUTED_VALUE"""),0.0)</f>
        <v>0</v>
      </c>
      <c r="J3" s="11">
        <f>IFERROR(__xludf.DUMMYFUNCTION("""COMPUTED_VALUE"""),3.6)</f>
        <v>3.6</v>
      </c>
      <c r="K3" s="11">
        <f>IFERROR(__xludf.DUMMYFUNCTION("""COMPUTED_VALUE"""),4.9)</f>
        <v>4.9</v>
      </c>
      <c r="L3" s="11">
        <f>IFERROR(__xludf.DUMMYFUNCTION("""COMPUTED_VALUE"""),4.3)</f>
        <v>4.3</v>
      </c>
      <c r="M3" s="11">
        <f>IFERROR(__xludf.DUMMYFUNCTION("""COMPUTED_VALUE"""),3.0)</f>
        <v>3</v>
      </c>
      <c r="N3" s="11"/>
      <c r="O3" s="12">
        <f>IFERROR(__xludf.DUMMYFUNCTION("""COMPUTED_VALUE"""),4.9)</f>
        <v>4.9</v>
      </c>
      <c r="P3" s="11"/>
      <c r="Q3" s="11">
        <f>IFERROR(__xludf.DUMMYFUNCTION("""COMPUTED_VALUE"""),1.9)</f>
        <v>1.9</v>
      </c>
      <c r="R3" s="11">
        <f>IFERROR(__xludf.DUMMYFUNCTION("""COMPUTED_VALUE"""),1.7)</f>
        <v>1.7</v>
      </c>
      <c r="S3" s="11">
        <f>IFERROR(__xludf.DUMMYFUNCTION("""COMPUTED_VALUE"""),4.5)</f>
        <v>4.5</v>
      </c>
      <c r="T3" s="11">
        <f>IFERROR(__xludf.DUMMYFUNCTION("""COMPUTED_VALUE"""),5.0)</f>
        <v>5</v>
      </c>
      <c r="U3" s="11">
        <f>IFERROR(__xludf.DUMMYFUNCTION("""COMPUTED_VALUE"""),5.0)</f>
        <v>5</v>
      </c>
      <c r="V3" s="11">
        <f>IFERROR(__xludf.DUMMYFUNCTION("""COMPUTED_VALUE"""),5.0)</f>
        <v>5</v>
      </c>
      <c r="W3" s="11"/>
      <c r="X3" s="11"/>
      <c r="Y3" s="11" t="str">
        <f>IFERROR(__xludf.DUMMYFUNCTION("""COMPUTED_VALUE"""),"U00193956")</f>
        <v>U00193956</v>
      </c>
      <c r="Z3" s="15">
        <f>IFERROR(__xludf.DUMMYFUNCTION("""COMPUTED_VALUE"""),55581.0)</f>
        <v>55581</v>
      </c>
      <c r="AA3" s="15">
        <f>IFERROR(__xludf.DUMMYFUNCTION("""COMPUTED_VALUE"""),1.5)</f>
        <v>1.5</v>
      </c>
    </row>
    <row r="4">
      <c r="A4" s="14">
        <v>3.0</v>
      </c>
      <c r="B4" s="14" t="s">
        <v>27</v>
      </c>
      <c r="C4" s="10">
        <f>IFERROR(__xludf.DUMMYFUNCTION("""COMPUTED_VALUE"""),2.5)</f>
        <v>2.5</v>
      </c>
      <c r="D4" s="11">
        <f>IFERROR(__xludf.DUMMYFUNCTION("""COMPUTED_VALUE"""),2.3)</f>
        <v>2.3</v>
      </c>
      <c r="E4" s="10">
        <f>IFERROR(__xludf.DUMMYFUNCTION("""COMPUTED_VALUE"""),2.7)</f>
        <v>2.7</v>
      </c>
      <c r="F4" s="11">
        <f>IFERROR(__xludf.DUMMYFUNCTION("""COMPUTED_VALUE"""),4.3)</f>
        <v>4.3</v>
      </c>
      <c r="G4" s="11">
        <f>IFERROR(__xludf.DUMMYFUNCTION("""COMPUTED_VALUE"""),2.8)</f>
        <v>2.8</v>
      </c>
      <c r="H4" s="1">
        <f>IFERROR(__xludf.DUMMYFUNCTION("""COMPUTED_VALUE"""),4.6)</f>
        <v>4.6</v>
      </c>
      <c r="I4" s="1">
        <f>IFERROR(__xludf.DUMMYFUNCTION("""COMPUTED_VALUE"""),5.0)</f>
        <v>5</v>
      </c>
      <c r="J4" s="11">
        <f>IFERROR(__xludf.DUMMYFUNCTION("""COMPUTED_VALUE"""),3.8)</f>
        <v>3.8</v>
      </c>
      <c r="K4" s="11">
        <f>IFERROR(__xludf.DUMMYFUNCTION("""COMPUTED_VALUE"""),0.0)</f>
        <v>0</v>
      </c>
      <c r="L4" s="11">
        <f>IFERROR(__xludf.DUMMYFUNCTION("""COMPUTED_VALUE"""),0.0)</f>
        <v>0</v>
      </c>
      <c r="M4" s="11">
        <f>IFERROR(__xludf.DUMMYFUNCTION("""COMPUTED_VALUE"""),4.5)</f>
        <v>4.5</v>
      </c>
      <c r="N4" s="11"/>
      <c r="O4" s="12">
        <f>IFERROR(__xludf.DUMMYFUNCTION("""COMPUTED_VALUE"""),4.8)</f>
        <v>4.8</v>
      </c>
      <c r="P4" s="11"/>
      <c r="Q4" s="11">
        <f>IFERROR(__xludf.DUMMYFUNCTION("""COMPUTED_VALUE"""),2.3)</f>
        <v>2.3</v>
      </c>
      <c r="R4" s="11">
        <f>IFERROR(__xludf.DUMMYFUNCTION("""COMPUTED_VALUE"""),2.5)</f>
        <v>2.5</v>
      </c>
      <c r="S4" s="11">
        <f>IFERROR(__xludf.DUMMYFUNCTION("""COMPUTED_VALUE"""),5.0)</f>
        <v>5</v>
      </c>
      <c r="T4" s="11">
        <f>IFERROR(__xludf.DUMMYFUNCTION("""COMPUTED_VALUE"""),4.2)</f>
        <v>4.2</v>
      </c>
      <c r="U4" s="11">
        <f>IFERROR(__xludf.DUMMYFUNCTION("""COMPUTED_VALUE"""),5.0)</f>
        <v>5</v>
      </c>
      <c r="V4" s="11">
        <f>IFERROR(__xludf.DUMMYFUNCTION("""COMPUTED_VALUE"""),5.0)</f>
        <v>5</v>
      </c>
      <c r="W4" s="11"/>
      <c r="X4" s="11"/>
      <c r="Y4" s="11" t="str">
        <f>IFERROR(__xludf.DUMMYFUNCTION("""COMPUTED_VALUE"""),"U00194124")</f>
        <v>U00194124</v>
      </c>
      <c r="Z4" s="15">
        <f>IFERROR(__xludf.DUMMYFUNCTION("""COMPUTED_VALUE"""),55581.0)</f>
        <v>55581</v>
      </c>
      <c r="AA4" s="15">
        <f>IFERROR(__xludf.DUMMYFUNCTION("""COMPUTED_VALUE"""),1.5)</f>
        <v>1.5</v>
      </c>
    </row>
    <row r="5">
      <c r="A5" s="14">
        <v>4.0</v>
      </c>
      <c r="B5" s="14" t="s">
        <v>28</v>
      </c>
      <c r="C5" s="10">
        <f>IFERROR(__xludf.DUMMYFUNCTION("""COMPUTED_VALUE"""),5.0)</f>
        <v>5</v>
      </c>
      <c r="D5" s="11">
        <f>IFERROR(__xludf.DUMMYFUNCTION("""COMPUTED_VALUE"""),5.0)</f>
        <v>5</v>
      </c>
      <c r="E5" s="10">
        <f>IFERROR(__xludf.DUMMYFUNCTION("""COMPUTED_VALUE"""),4.5)</f>
        <v>4.5</v>
      </c>
      <c r="F5" s="11"/>
      <c r="G5" s="11">
        <f>IFERROR(__xludf.DUMMYFUNCTION("""COMPUTED_VALUE"""),4.9)</f>
        <v>4.9</v>
      </c>
      <c r="H5" s="1">
        <f>IFERROR(__xludf.DUMMYFUNCTION("""COMPUTED_VALUE"""),4.6)</f>
        <v>4.6</v>
      </c>
      <c r="I5" s="1">
        <f>IFERROR(__xludf.DUMMYFUNCTION("""COMPUTED_VALUE"""),5.0)</f>
        <v>5</v>
      </c>
      <c r="J5" s="11">
        <f>IFERROR(__xludf.DUMMYFUNCTION("""COMPUTED_VALUE"""),4.1)</f>
        <v>4.1</v>
      </c>
      <c r="K5" s="11">
        <f>IFERROR(__xludf.DUMMYFUNCTION("""COMPUTED_VALUE"""),4.5)</f>
        <v>4.5</v>
      </c>
      <c r="L5" s="11">
        <f>IFERROR(__xludf.DUMMYFUNCTION("""COMPUTED_VALUE"""),4.3)</f>
        <v>4.3</v>
      </c>
      <c r="M5" s="11">
        <f>IFERROR(__xludf.DUMMYFUNCTION("""COMPUTED_VALUE"""),5.0)</f>
        <v>5</v>
      </c>
      <c r="N5" s="11"/>
      <c r="O5" s="12">
        <f>IFERROR(__xludf.DUMMYFUNCTION("""COMPUTED_VALUE"""),4.2)</f>
        <v>4.2</v>
      </c>
      <c r="P5" s="11"/>
      <c r="Q5" s="11">
        <f>IFERROR(__xludf.DUMMYFUNCTION("""COMPUTED_VALUE"""),2.3)</f>
        <v>2.3</v>
      </c>
      <c r="R5" s="11">
        <f>IFERROR(__xludf.DUMMYFUNCTION("""COMPUTED_VALUE"""),3.6)</f>
        <v>3.6</v>
      </c>
      <c r="S5" s="11">
        <f>IFERROR(__xludf.DUMMYFUNCTION("""COMPUTED_VALUE"""),5.0)</f>
        <v>5</v>
      </c>
      <c r="T5" s="11">
        <f>IFERROR(__xludf.DUMMYFUNCTION("""COMPUTED_VALUE"""),3.0)</f>
        <v>3</v>
      </c>
      <c r="U5" s="11">
        <f>IFERROR(__xludf.DUMMYFUNCTION("""COMPUTED_VALUE"""),3.8)</f>
        <v>3.8</v>
      </c>
      <c r="V5" s="11">
        <f>IFERROR(__xludf.DUMMYFUNCTION("""COMPUTED_VALUE"""),5.0)</f>
        <v>5</v>
      </c>
      <c r="W5" s="11"/>
      <c r="X5" s="11"/>
      <c r="Y5" s="11" t="str">
        <f>IFERROR(__xludf.DUMMYFUNCTION("""COMPUTED_VALUE"""),"U00191934")</f>
        <v>U00191934</v>
      </c>
      <c r="Z5" s="15">
        <f>IFERROR(__xludf.DUMMYFUNCTION("""COMPUTED_VALUE"""),55581.0)</f>
        <v>55581</v>
      </c>
      <c r="AA5" s="15">
        <f>IFERROR(__xludf.DUMMYFUNCTION("""COMPUTED_VALUE"""),4.5)</f>
        <v>4.5</v>
      </c>
    </row>
    <row r="6">
      <c r="A6" s="14">
        <v>5.0</v>
      </c>
      <c r="B6" s="14" t="s">
        <v>29</v>
      </c>
      <c r="C6" s="10">
        <f>IFERROR(__xludf.DUMMYFUNCTION("""COMPUTED_VALUE"""),4.5)</f>
        <v>4.5</v>
      </c>
      <c r="D6" s="11">
        <f>IFERROR(__xludf.DUMMYFUNCTION("""COMPUTED_VALUE"""),4.9)</f>
        <v>4.9</v>
      </c>
      <c r="E6" s="10">
        <f>IFERROR(__xludf.DUMMYFUNCTION("""COMPUTED_VALUE"""),4.8)</f>
        <v>4.8</v>
      </c>
      <c r="F6" s="11">
        <f>IFERROR(__xludf.DUMMYFUNCTION("""COMPUTED_VALUE"""),4.4)</f>
        <v>4.4</v>
      </c>
      <c r="G6" s="11">
        <f>IFERROR(__xludf.DUMMYFUNCTION("""COMPUTED_VALUE"""),4.7)</f>
        <v>4.7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1">
        <f>IFERROR(__xludf.DUMMYFUNCTION("""COMPUTED_VALUE"""),4.4)</f>
        <v>4.4</v>
      </c>
      <c r="K6" s="11">
        <f>IFERROR(__xludf.DUMMYFUNCTION("""COMPUTED_VALUE"""),5.0)</f>
        <v>5</v>
      </c>
      <c r="L6" s="11">
        <f>IFERROR(__xludf.DUMMYFUNCTION("""COMPUTED_VALUE"""),4.7)</f>
        <v>4.7</v>
      </c>
      <c r="M6" s="11">
        <f>IFERROR(__xludf.DUMMYFUNCTION("""COMPUTED_VALUE"""),4.1)</f>
        <v>4.1</v>
      </c>
      <c r="N6" s="11"/>
      <c r="O6" s="12">
        <f>IFERROR(__xludf.DUMMYFUNCTION("""COMPUTED_VALUE"""),4.9)</f>
        <v>4.9</v>
      </c>
      <c r="P6" s="11"/>
      <c r="Q6" s="11">
        <f>IFERROR(__xludf.DUMMYFUNCTION("""COMPUTED_VALUE"""),2.2)</f>
        <v>2.2</v>
      </c>
      <c r="R6" s="11">
        <f>IFERROR(__xludf.DUMMYFUNCTION("""COMPUTED_VALUE"""),3.4)</f>
        <v>3.4</v>
      </c>
      <c r="S6" s="11">
        <f>IFERROR(__xludf.DUMMYFUNCTION("""COMPUTED_VALUE"""),5.0)</f>
        <v>5</v>
      </c>
      <c r="T6" s="11">
        <f>IFERROR(__xludf.DUMMYFUNCTION("""COMPUTED_VALUE"""),4.5)</f>
        <v>4.5</v>
      </c>
      <c r="U6" s="11">
        <f>IFERROR(__xludf.DUMMYFUNCTION("""COMPUTED_VALUE"""),5.0)</f>
        <v>5</v>
      </c>
      <c r="V6" s="11">
        <f>IFERROR(__xludf.DUMMYFUNCTION("""COMPUTED_VALUE"""),5.0)</f>
        <v>5</v>
      </c>
      <c r="W6" s="11"/>
      <c r="X6" s="11"/>
      <c r="Y6" s="11" t="str">
        <f>IFERROR(__xludf.DUMMYFUNCTION("""COMPUTED_VALUE"""),"U00193915")</f>
        <v>U00193915</v>
      </c>
      <c r="Z6" s="15">
        <f>IFERROR(__xludf.DUMMYFUNCTION("""COMPUTED_VALUE"""),55581.0)</f>
        <v>55581</v>
      </c>
      <c r="AA6" s="15">
        <f>IFERROR(__xludf.DUMMYFUNCTION("""COMPUTED_VALUE"""),3.5)</f>
        <v>3.5</v>
      </c>
    </row>
    <row r="7">
      <c r="A7" s="14">
        <v>6.0</v>
      </c>
      <c r="B7" s="14" t="s">
        <v>30</v>
      </c>
      <c r="C7" s="10">
        <f>IFERROR(__xludf.DUMMYFUNCTION("""COMPUTED_VALUE"""),3.4)</f>
        <v>3.4</v>
      </c>
      <c r="D7" s="11">
        <f>IFERROR(__xludf.DUMMYFUNCTION("""COMPUTED_VALUE"""),2.6)</f>
        <v>2.6</v>
      </c>
      <c r="E7" s="10">
        <f>IFERROR(__xludf.DUMMYFUNCTION("""COMPUTED_VALUE"""),4.7)</f>
        <v>4.7</v>
      </c>
      <c r="F7" s="11">
        <f>IFERROR(__xludf.DUMMYFUNCTION("""COMPUTED_VALUE"""),3.8)</f>
        <v>3.8</v>
      </c>
      <c r="G7" s="11">
        <f>IFERROR(__xludf.DUMMYFUNCTION("""COMPUTED_VALUE"""),3.5)</f>
        <v>3.5</v>
      </c>
      <c r="H7" s="1">
        <f>IFERROR(__xludf.DUMMYFUNCTION("""COMPUTED_VALUE"""),4.2)</f>
        <v>4.2</v>
      </c>
      <c r="I7" s="1">
        <f>IFERROR(__xludf.DUMMYFUNCTION("""COMPUTED_VALUE"""),5.0)</f>
        <v>5</v>
      </c>
      <c r="J7" s="11">
        <f>IFERROR(__xludf.DUMMYFUNCTION("""COMPUTED_VALUE"""),4.4)</f>
        <v>4.4</v>
      </c>
      <c r="K7" s="11">
        <f>IFERROR(__xludf.DUMMYFUNCTION("""COMPUTED_VALUE"""),5.0)</f>
        <v>5</v>
      </c>
      <c r="L7" s="11">
        <f>IFERROR(__xludf.DUMMYFUNCTION("""COMPUTED_VALUE"""),5.0)</f>
        <v>5</v>
      </c>
      <c r="M7" s="11">
        <f>IFERROR(__xludf.DUMMYFUNCTION("""COMPUTED_VALUE"""),3.5)</f>
        <v>3.5</v>
      </c>
      <c r="N7" s="11"/>
      <c r="O7" s="12">
        <f>IFERROR(__xludf.DUMMYFUNCTION("""COMPUTED_VALUE"""),4.7)</f>
        <v>4.7</v>
      </c>
      <c r="P7" s="11"/>
      <c r="Q7" s="11">
        <f>IFERROR(__xludf.DUMMYFUNCTION("""COMPUTED_VALUE"""),2.0)</f>
        <v>2</v>
      </c>
      <c r="R7" s="11">
        <f>IFERROR(__xludf.DUMMYFUNCTION("""COMPUTED_VALUE"""),2.7)</f>
        <v>2.7</v>
      </c>
      <c r="S7" s="11">
        <f>IFERROR(__xludf.DUMMYFUNCTION("""COMPUTED_VALUE"""),4.5)</f>
        <v>4.5</v>
      </c>
      <c r="T7" s="11">
        <f>IFERROR(__xludf.DUMMYFUNCTION("""COMPUTED_VALUE"""),4.2)</f>
        <v>4.2</v>
      </c>
      <c r="U7" s="11">
        <f>IFERROR(__xludf.DUMMYFUNCTION("""COMPUTED_VALUE"""),5.0)</f>
        <v>5</v>
      </c>
      <c r="V7" s="11">
        <f>IFERROR(__xludf.DUMMYFUNCTION("""COMPUTED_VALUE"""),5.0)</f>
        <v>5</v>
      </c>
      <c r="W7" s="11"/>
      <c r="X7" s="11"/>
      <c r="Y7" s="11" t="str">
        <f>IFERROR(__xludf.DUMMYFUNCTION("""COMPUTED_VALUE"""),"U00193113")</f>
        <v>U00193113</v>
      </c>
      <c r="Z7" s="15">
        <f>IFERROR(__xludf.DUMMYFUNCTION("""COMPUTED_VALUE"""),55581.0)</f>
        <v>55581</v>
      </c>
      <c r="AA7" s="15">
        <f>IFERROR(__xludf.DUMMYFUNCTION("""COMPUTED_VALUE"""),2.5)</f>
        <v>2.5</v>
      </c>
    </row>
    <row r="8">
      <c r="A8" s="14">
        <v>7.0</v>
      </c>
      <c r="B8" s="14" t="s">
        <v>31</v>
      </c>
      <c r="C8" s="10">
        <f>IFERROR(__xludf.DUMMYFUNCTION("""COMPUTED_VALUE"""),3.5)</f>
        <v>3.5</v>
      </c>
      <c r="D8" s="11">
        <f>IFERROR(__xludf.DUMMYFUNCTION("""COMPUTED_VALUE"""),3.4)</f>
        <v>3.4</v>
      </c>
      <c r="E8" s="10">
        <f>IFERROR(__xludf.DUMMYFUNCTION("""COMPUTED_VALUE"""),3.5)</f>
        <v>3.5</v>
      </c>
      <c r="F8" s="11">
        <f>IFERROR(__xludf.DUMMYFUNCTION("""COMPUTED_VALUE"""),4.5)</f>
        <v>4.5</v>
      </c>
      <c r="G8" s="11">
        <f>IFERROR(__xludf.DUMMYFUNCTION("""COMPUTED_VALUE"""),3.7)</f>
        <v>3.7</v>
      </c>
      <c r="H8" s="1">
        <f>IFERROR(__xludf.DUMMYFUNCTION("""COMPUTED_VALUE"""),4.6)</f>
        <v>4.6</v>
      </c>
      <c r="I8" s="1">
        <f>IFERROR(__xludf.DUMMYFUNCTION("""COMPUTED_VALUE"""),0.0)</f>
        <v>0</v>
      </c>
      <c r="J8" s="11">
        <f>IFERROR(__xludf.DUMMYFUNCTION("""COMPUTED_VALUE"""),4.4)</f>
        <v>4.4</v>
      </c>
      <c r="K8" s="11">
        <f>IFERROR(__xludf.DUMMYFUNCTION("""COMPUTED_VALUE"""),4.1)</f>
        <v>4.1</v>
      </c>
      <c r="L8" s="11">
        <f>IFERROR(__xludf.DUMMYFUNCTION("""COMPUTED_VALUE"""),4.3)</f>
        <v>4.3</v>
      </c>
      <c r="M8" s="11">
        <f>IFERROR(__xludf.DUMMYFUNCTION("""COMPUTED_VALUE"""),3.9)</f>
        <v>3.9</v>
      </c>
      <c r="N8" s="11"/>
      <c r="O8" s="12">
        <f>IFERROR(__xludf.DUMMYFUNCTION("""COMPUTED_VALUE"""),4.4)</f>
        <v>4.4</v>
      </c>
      <c r="P8" s="11"/>
      <c r="Q8" s="11">
        <f>IFERROR(__xludf.DUMMYFUNCTION("""COMPUTED_VALUE"""),2.1)</f>
        <v>2.1</v>
      </c>
      <c r="R8" s="11">
        <f>IFERROR(__xludf.DUMMYFUNCTION("""COMPUTED_VALUE"""),2.9)</f>
        <v>2.9</v>
      </c>
      <c r="S8" s="11">
        <f>IFERROR(__xludf.DUMMYFUNCTION("""COMPUTED_VALUE"""),4.0)</f>
        <v>4</v>
      </c>
      <c r="T8" s="11">
        <f>IFERROR(__xludf.DUMMYFUNCTION("""COMPUTED_VALUE"""),3.5)</f>
        <v>3.5</v>
      </c>
      <c r="U8" s="11">
        <f>IFERROR(__xludf.DUMMYFUNCTION("""COMPUTED_VALUE"""),5.0)</f>
        <v>5</v>
      </c>
      <c r="V8" s="11">
        <f>IFERROR(__xludf.DUMMYFUNCTION("""COMPUTED_VALUE"""),5.0)</f>
        <v>5</v>
      </c>
      <c r="W8" s="11"/>
      <c r="X8" s="11"/>
      <c r="Y8" s="11" t="str">
        <f>IFERROR(__xludf.DUMMYFUNCTION("""COMPUTED_VALUE"""),"U00192477")</f>
        <v>U00192477</v>
      </c>
      <c r="Z8" s="15">
        <f>IFERROR(__xludf.DUMMYFUNCTION("""COMPUTED_VALUE"""),55581.0)</f>
        <v>55581</v>
      </c>
      <c r="AA8" s="15">
        <f>IFERROR(__xludf.DUMMYFUNCTION("""COMPUTED_VALUE"""),3.0)</f>
        <v>3</v>
      </c>
    </row>
    <row r="9">
      <c r="A9" s="14">
        <v>8.0</v>
      </c>
      <c r="B9" s="14" t="s">
        <v>32</v>
      </c>
      <c r="C9" s="10">
        <f>IFERROR(__xludf.DUMMYFUNCTION("""COMPUTED_VALUE"""),5.0)</f>
        <v>5</v>
      </c>
      <c r="D9" s="11">
        <f>IFERROR(__xludf.DUMMYFUNCTION("""COMPUTED_VALUE"""),5.0)</f>
        <v>5</v>
      </c>
      <c r="E9" s="10">
        <f>IFERROR(__xludf.DUMMYFUNCTION("""COMPUTED_VALUE"""),4.8)</f>
        <v>4.8</v>
      </c>
      <c r="F9" s="11">
        <f>IFERROR(__xludf.DUMMYFUNCTION("""COMPUTED_VALUE"""),4.9)</f>
        <v>4.9</v>
      </c>
      <c r="G9" s="11">
        <f>IFERROR(__xludf.DUMMYFUNCTION("""COMPUTED_VALUE"""),4.9)</f>
        <v>4.9</v>
      </c>
      <c r="H9" s="1">
        <f>IFERROR(__xludf.DUMMYFUNCTION("""COMPUTED_VALUE"""),4.8)</f>
        <v>4.8</v>
      </c>
      <c r="I9" s="1">
        <f>IFERROR(__xludf.DUMMYFUNCTION("""COMPUTED_VALUE"""),4.7)</f>
        <v>4.7</v>
      </c>
      <c r="J9" s="11">
        <f>IFERROR(__xludf.DUMMYFUNCTION("""COMPUTED_VALUE"""),4.7)</f>
        <v>4.7</v>
      </c>
      <c r="K9" s="11">
        <f>IFERROR(__xludf.DUMMYFUNCTION("""COMPUTED_VALUE"""),5.0)</f>
        <v>5</v>
      </c>
      <c r="L9" s="11">
        <f>IFERROR(__xludf.DUMMYFUNCTION("""COMPUTED_VALUE"""),4.7)</f>
        <v>4.7</v>
      </c>
      <c r="M9" s="11">
        <f>IFERROR(__xludf.DUMMYFUNCTION("""COMPUTED_VALUE"""),5.0)</f>
        <v>5</v>
      </c>
      <c r="N9" s="11"/>
      <c r="O9" s="12">
        <f>IFERROR(__xludf.DUMMYFUNCTION("""COMPUTED_VALUE"""),5.0)</f>
        <v>5</v>
      </c>
      <c r="P9" s="11"/>
      <c r="Q9" s="11">
        <f>IFERROR(__xludf.DUMMYFUNCTION("""COMPUTED_VALUE"""),2.5)</f>
        <v>2.5</v>
      </c>
      <c r="R9" s="11">
        <f>IFERROR(__xludf.DUMMYFUNCTION("""COMPUTED_VALUE"""),3.7)</f>
        <v>3.7</v>
      </c>
      <c r="S9" s="11">
        <f>IFERROR(__xludf.DUMMYFUNCTION("""COMPUTED_VALUE"""),5.0)</f>
        <v>5</v>
      </c>
      <c r="T9" s="11">
        <f>IFERROR(__xludf.DUMMYFUNCTION("""COMPUTED_VALUE"""),5.0)</f>
        <v>5</v>
      </c>
      <c r="U9" s="11">
        <f>IFERROR(__xludf.DUMMYFUNCTION("""COMPUTED_VALUE"""),5.0)</f>
        <v>5</v>
      </c>
      <c r="V9" s="11">
        <f>IFERROR(__xludf.DUMMYFUNCTION("""COMPUTED_VALUE"""),5.0)</f>
        <v>5</v>
      </c>
      <c r="W9" s="11"/>
      <c r="X9" s="11"/>
      <c r="Y9" s="11" t="str">
        <f>IFERROR(__xludf.DUMMYFUNCTION("""COMPUTED_VALUE"""),"U00192526")</f>
        <v>U00192526</v>
      </c>
      <c r="Z9" s="15">
        <f>IFERROR(__xludf.DUMMYFUNCTION("""COMPUTED_VALUE"""),55581.0)</f>
        <v>55581</v>
      </c>
      <c r="AA9" s="15">
        <f>IFERROR(__xludf.DUMMYFUNCTION("""COMPUTED_VALUE"""),4.9)</f>
        <v>4.9</v>
      </c>
    </row>
    <row r="10">
      <c r="A10" s="14">
        <v>9.0</v>
      </c>
      <c r="B10" s="14" t="s">
        <v>33</v>
      </c>
      <c r="C10" s="10">
        <f>IFERROR(__xludf.DUMMYFUNCTION("""COMPUTED_VALUE"""),1.9)</f>
        <v>1.9</v>
      </c>
      <c r="D10" s="11">
        <f>IFERROR(__xludf.DUMMYFUNCTION("""COMPUTED_VALUE"""),3.8)</f>
        <v>3.8</v>
      </c>
      <c r="E10" s="10">
        <f>IFERROR(__xludf.DUMMYFUNCTION("""COMPUTED_VALUE"""),4.4)</f>
        <v>4.4</v>
      </c>
      <c r="F10" s="11">
        <f>IFERROR(__xludf.DUMMYFUNCTION("""COMPUTED_VALUE"""),3.8)</f>
        <v>3.8</v>
      </c>
      <c r="G10" s="11">
        <f>IFERROR(__xludf.DUMMYFUNCTION("""COMPUTED_VALUE"""),3.4)</f>
        <v>3.4</v>
      </c>
      <c r="H10" s="1">
        <f>IFERROR(__xludf.DUMMYFUNCTION("""COMPUTED_VALUE"""),4.2)</f>
        <v>4.2</v>
      </c>
      <c r="I10" s="1">
        <f>IFERROR(__xludf.DUMMYFUNCTION("""COMPUTED_VALUE"""),5.0)</f>
        <v>5</v>
      </c>
      <c r="J10" s="11">
        <f>IFERROR(__xludf.DUMMYFUNCTION("""COMPUTED_VALUE"""),4.4)</f>
        <v>4.4</v>
      </c>
      <c r="K10" s="11">
        <f>IFERROR(__xludf.DUMMYFUNCTION("""COMPUTED_VALUE"""),4.0)</f>
        <v>4</v>
      </c>
      <c r="L10" s="11">
        <f>IFERROR(__xludf.DUMMYFUNCTION("""COMPUTED_VALUE"""),4.3)</f>
        <v>4.3</v>
      </c>
      <c r="M10" s="11">
        <f>IFERROR(__xludf.DUMMYFUNCTION("""COMPUTED_VALUE"""),3.0)</f>
        <v>3</v>
      </c>
      <c r="N10" s="11"/>
      <c r="O10" s="12">
        <f>IFERROR(__xludf.DUMMYFUNCTION("""COMPUTED_VALUE"""),5.0)</f>
        <v>5</v>
      </c>
      <c r="P10" s="11"/>
      <c r="Q10" s="11">
        <f>IFERROR(__xludf.DUMMYFUNCTION("""COMPUTED_VALUE"""),1.9)</f>
        <v>1.9</v>
      </c>
      <c r="R10" s="11">
        <f>IFERROR(__xludf.DUMMYFUNCTION("""COMPUTED_VALUE"""),2.6)</f>
        <v>2.6</v>
      </c>
      <c r="S10" s="11">
        <f>IFERROR(__xludf.DUMMYFUNCTION("""COMPUTED_VALUE"""),5.0)</f>
        <v>5</v>
      </c>
      <c r="T10" s="11">
        <f>IFERROR(__xludf.DUMMYFUNCTION("""COMPUTED_VALUE"""),5.0)</f>
        <v>5</v>
      </c>
      <c r="U10" s="11">
        <f>IFERROR(__xludf.DUMMYFUNCTION("""COMPUTED_VALUE"""),5.0)</f>
        <v>5</v>
      </c>
      <c r="V10" s="11">
        <f>IFERROR(__xludf.DUMMYFUNCTION("""COMPUTED_VALUE"""),5.0)</f>
        <v>5</v>
      </c>
      <c r="W10" s="11"/>
      <c r="X10" s="11"/>
      <c r="Y10" s="11" t="str">
        <f>IFERROR(__xludf.DUMMYFUNCTION("""COMPUTED_VALUE"""),"U00193149")</f>
        <v>U00193149</v>
      </c>
      <c r="Z10" s="15">
        <f>IFERROR(__xludf.DUMMYFUNCTION("""COMPUTED_VALUE"""),55581.0)</f>
        <v>55581</v>
      </c>
      <c r="AA10" s="15">
        <f>IFERROR(__xludf.DUMMYFUNCTION("""COMPUTED_VALUE"""),1.0)</f>
        <v>1</v>
      </c>
    </row>
    <row r="11">
      <c r="A11" s="14">
        <v>10.0</v>
      </c>
      <c r="B11" s="14" t="s">
        <v>34</v>
      </c>
      <c r="C11" s="10">
        <f>IFERROR(__xludf.DUMMYFUNCTION("""COMPUTED_VALUE"""),3.6)</f>
        <v>3.6</v>
      </c>
      <c r="D11" s="11">
        <f>IFERROR(__xludf.DUMMYFUNCTION("""COMPUTED_VALUE"""),3.4)</f>
        <v>3.4</v>
      </c>
      <c r="E11" s="10">
        <f>IFERROR(__xludf.DUMMYFUNCTION("""COMPUTED_VALUE"""),4.6)</f>
        <v>4.6</v>
      </c>
      <c r="F11" s="11">
        <f>IFERROR(__xludf.DUMMYFUNCTION("""COMPUTED_VALUE"""),3.3)</f>
        <v>3.3</v>
      </c>
      <c r="G11" s="11">
        <f>IFERROR(__xludf.DUMMYFUNCTION("""COMPUTED_VALUE"""),3.8)</f>
        <v>3.8</v>
      </c>
      <c r="H11" s="1">
        <f>IFERROR(__xludf.DUMMYFUNCTION("""COMPUTED_VALUE"""),5.0)</f>
        <v>5</v>
      </c>
      <c r="I11" s="1">
        <f>IFERROR(__xludf.DUMMYFUNCTION("""COMPUTED_VALUE"""),4.7)</f>
        <v>4.7</v>
      </c>
      <c r="J11" s="11">
        <f>IFERROR(__xludf.DUMMYFUNCTION("""COMPUTED_VALUE"""),4.1)</f>
        <v>4.1</v>
      </c>
      <c r="K11" s="11">
        <f>IFERROR(__xludf.DUMMYFUNCTION("""COMPUTED_VALUE"""),5.0)</f>
        <v>5</v>
      </c>
      <c r="L11" s="11">
        <f>IFERROR(__xludf.DUMMYFUNCTION("""COMPUTED_VALUE"""),4.3)</f>
        <v>4.3</v>
      </c>
      <c r="M11" s="11">
        <f>IFERROR(__xludf.DUMMYFUNCTION("""COMPUTED_VALUE"""),3.5)</f>
        <v>3.5</v>
      </c>
      <c r="N11" s="11"/>
      <c r="O11" s="12">
        <f>IFERROR(__xludf.DUMMYFUNCTION("""COMPUTED_VALUE"""),4.8)</f>
        <v>4.8</v>
      </c>
      <c r="P11" s="11"/>
      <c r="Q11" s="11">
        <f>IFERROR(__xludf.DUMMYFUNCTION("""COMPUTED_VALUE"""),2.0)</f>
        <v>2</v>
      </c>
      <c r="R11" s="11">
        <f>IFERROR(__xludf.DUMMYFUNCTION("""COMPUTED_VALUE"""),2.9)</f>
        <v>2.9</v>
      </c>
      <c r="S11" s="11">
        <f>IFERROR(__xludf.DUMMYFUNCTION("""COMPUTED_VALUE"""),4.5)</f>
        <v>4.5</v>
      </c>
      <c r="T11" s="11">
        <f>IFERROR(__xludf.DUMMYFUNCTION("""COMPUTED_VALUE"""),4.5)</f>
        <v>4.5</v>
      </c>
      <c r="U11" s="11">
        <f>IFERROR(__xludf.DUMMYFUNCTION("""COMPUTED_VALUE"""),5.0)</f>
        <v>5</v>
      </c>
      <c r="V11" s="11">
        <f>IFERROR(__xludf.DUMMYFUNCTION("""COMPUTED_VALUE"""),5.0)</f>
        <v>5</v>
      </c>
      <c r="W11" s="11"/>
      <c r="X11" s="11"/>
      <c r="Y11" s="11" t="str">
        <f>IFERROR(__xludf.DUMMYFUNCTION("""COMPUTED_VALUE"""),"U00192726")</f>
        <v>U00192726</v>
      </c>
      <c r="Z11" s="15">
        <f>IFERROR(__xludf.DUMMYFUNCTION("""COMPUTED_VALUE"""),55581.0)</f>
        <v>55581</v>
      </c>
      <c r="AA11" s="15">
        <f>IFERROR(__xludf.DUMMYFUNCTION("""COMPUTED_VALUE"""),2.6)</f>
        <v>2.6</v>
      </c>
    </row>
    <row r="12">
      <c r="A12" s="14">
        <v>11.0</v>
      </c>
      <c r="B12" s="14" t="s">
        <v>35</v>
      </c>
      <c r="C12" s="10">
        <f>IFERROR(__xludf.DUMMYFUNCTION("""COMPUTED_VALUE"""),3.8)</f>
        <v>3.8</v>
      </c>
      <c r="D12" s="11">
        <f>IFERROR(__xludf.DUMMYFUNCTION("""COMPUTED_VALUE"""),2.4)</f>
        <v>2.4</v>
      </c>
      <c r="E12" s="10">
        <f>IFERROR(__xludf.DUMMYFUNCTION("""COMPUTED_VALUE"""),4.4)</f>
        <v>4.4</v>
      </c>
      <c r="F12" s="11"/>
      <c r="G12" s="11">
        <f>IFERROR(__xludf.DUMMYFUNCTION("""COMPUTED_VALUE"""),3.5)</f>
        <v>3.5</v>
      </c>
      <c r="H12" s="1">
        <f>IFERROR(__xludf.DUMMYFUNCTION("""COMPUTED_VALUE"""),4.4)</f>
        <v>4.4</v>
      </c>
      <c r="I12" s="1">
        <f>IFERROR(__xludf.DUMMYFUNCTION("""COMPUTED_VALUE"""),4.7)</f>
        <v>4.7</v>
      </c>
      <c r="J12" s="11">
        <f>IFERROR(__xludf.DUMMYFUNCTION("""COMPUTED_VALUE"""),3.8)</f>
        <v>3.8</v>
      </c>
      <c r="K12" s="11">
        <f>IFERROR(__xludf.DUMMYFUNCTION("""COMPUTED_VALUE"""),4.5)</f>
        <v>4.5</v>
      </c>
      <c r="L12" s="11">
        <f>IFERROR(__xludf.DUMMYFUNCTION("""COMPUTED_VALUE"""),4.7)</f>
        <v>4.7</v>
      </c>
      <c r="M12" s="11">
        <f>IFERROR(__xludf.DUMMYFUNCTION("""COMPUTED_VALUE"""),4.0)</f>
        <v>4</v>
      </c>
      <c r="N12" s="11"/>
      <c r="O12" s="12">
        <f>IFERROR(__xludf.DUMMYFUNCTION("""COMPUTED_VALUE"""),4.9)</f>
        <v>4.9</v>
      </c>
      <c r="P12" s="11"/>
      <c r="Q12" s="11">
        <f>IFERROR(__xludf.DUMMYFUNCTION("""COMPUTED_VALUE"""),2.2)</f>
        <v>2.2</v>
      </c>
      <c r="R12" s="11">
        <f>IFERROR(__xludf.DUMMYFUNCTION("""COMPUTED_VALUE"""),2.8)</f>
        <v>2.8</v>
      </c>
      <c r="S12" s="11">
        <f>IFERROR(__xludf.DUMMYFUNCTION("""COMPUTED_VALUE"""),4.5)</f>
        <v>4.5</v>
      </c>
      <c r="T12" s="11">
        <f>IFERROR(__xludf.DUMMYFUNCTION("""COMPUTED_VALUE"""),5.0)</f>
        <v>5</v>
      </c>
      <c r="U12" s="11">
        <f>IFERROR(__xludf.DUMMYFUNCTION("""COMPUTED_VALUE"""),5.0)</f>
        <v>5</v>
      </c>
      <c r="V12" s="11">
        <f>IFERROR(__xludf.DUMMYFUNCTION("""COMPUTED_VALUE"""),5.0)</f>
        <v>5</v>
      </c>
      <c r="W12" s="11"/>
      <c r="X12" s="11"/>
      <c r="Y12" s="11" t="str">
        <f>IFERROR(__xludf.DUMMYFUNCTION("""COMPUTED_VALUE"""),"U00194037")</f>
        <v>U00194037</v>
      </c>
      <c r="Z12" s="15">
        <f>IFERROR(__xludf.DUMMYFUNCTION("""COMPUTED_VALUE"""),55581.0)</f>
        <v>55581</v>
      </c>
      <c r="AA12" s="15">
        <f>IFERROR(__xludf.DUMMYFUNCTION("""COMPUTED_VALUE"""),2.9)</f>
        <v>2.9</v>
      </c>
    </row>
    <row r="13">
      <c r="A13" s="14">
        <v>12.0</v>
      </c>
      <c r="B13" s="14" t="s">
        <v>36</v>
      </c>
      <c r="C13" s="10">
        <f>IFERROR(__xludf.DUMMYFUNCTION("""COMPUTED_VALUE"""),3.5)</f>
        <v>3.5</v>
      </c>
      <c r="D13" s="11">
        <f>IFERROR(__xludf.DUMMYFUNCTION("""COMPUTED_VALUE"""),4.2)</f>
        <v>4.2</v>
      </c>
      <c r="E13" s="10">
        <f>IFERROR(__xludf.DUMMYFUNCTION("""COMPUTED_VALUE"""),3.4)</f>
        <v>3.4</v>
      </c>
      <c r="F13" s="11">
        <f>IFERROR(__xludf.DUMMYFUNCTION("""COMPUTED_VALUE"""),3.6)</f>
        <v>3.6</v>
      </c>
      <c r="G13" s="11">
        <f>IFERROR(__xludf.DUMMYFUNCTION("""COMPUTED_VALUE"""),3.7)</f>
        <v>3.7</v>
      </c>
      <c r="H13" s="1">
        <f>IFERROR(__xludf.DUMMYFUNCTION("""COMPUTED_VALUE"""),4.8)</f>
        <v>4.8</v>
      </c>
      <c r="I13" s="1">
        <f>IFERROR(__xludf.DUMMYFUNCTION("""COMPUTED_VALUE"""),4.7)</f>
        <v>4.7</v>
      </c>
      <c r="J13" s="11">
        <f>IFERROR(__xludf.DUMMYFUNCTION("""COMPUTED_VALUE"""),3.5)</f>
        <v>3.5</v>
      </c>
      <c r="K13" s="11">
        <f>IFERROR(__xludf.DUMMYFUNCTION("""COMPUTED_VALUE"""),0.0)</f>
        <v>0</v>
      </c>
      <c r="L13" s="11">
        <f>IFERROR(__xludf.DUMMYFUNCTION("""COMPUTED_VALUE"""),4.0)</f>
        <v>4</v>
      </c>
      <c r="M13" s="11">
        <f>IFERROR(__xludf.DUMMYFUNCTION("""COMPUTED_VALUE"""),3.8)</f>
        <v>3.8</v>
      </c>
      <c r="N13" s="11"/>
      <c r="O13" s="12">
        <f>IFERROR(__xludf.DUMMYFUNCTION("""COMPUTED_VALUE"""),4.2)</f>
        <v>4.2</v>
      </c>
      <c r="P13" s="11"/>
      <c r="Q13" s="11">
        <f>IFERROR(__xludf.DUMMYFUNCTION("""COMPUTED_VALUE"""),2.0)</f>
        <v>2</v>
      </c>
      <c r="R13" s="11">
        <f>IFERROR(__xludf.DUMMYFUNCTION("""COMPUTED_VALUE"""),2.8)</f>
        <v>2.8</v>
      </c>
      <c r="S13" s="11">
        <f>IFERROR(__xludf.DUMMYFUNCTION("""COMPUTED_VALUE"""),5.0)</f>
        <v>5</v>
      </c>
      <c r="T13" s="11">
        <f>IFERROR(__xludf.DUMMYFUNCTION("""COMPUTED_VALUE"""),3.0)</f>
        <v>3</v>
      </c>
      <c r="U13" s="11">
        <f>IFERROR(__xludf.DUMMYFUNCTION("""COMPUTED_VALUE"""),3.8)</f>
        <v>3.8</v>
      </c>
      <c r="V13" s="11">
        <f>IFERROR(__xludf.DUMMYFUNCTION("""COMPUTED_VALUE"""),5.0)</f>
        <v>5</v>
      </c>
      <c r="W13" s="11"/>
      <c r="X13" s="11"/>
      <c r="Y13" s="11" t="str">
        <f>IFERROR(__xludf.DUMMYFUNCTION("""COMPUTED_VALUE"""),"U00192705")</f>
        <v>U00192705</v>
      </c>
      <c r="Z13" s="15">
        <f>IFERROR(__xludf.DUMMYFUNCTION("""COMPUTED_VALUE"""),55581.0)</f>
        <v>55581</v>
      </c>
      <c r="AA13" s="15">
        <f>IFERROR(__xludf.DUMMYFUNCTION("""COMPUTED_VALUE"""),2.5)</f>
        <v>2.5</v>
      </c>
    </row>
    <row r="14">
      <c r="A14" s="14">
        <v>13.0</v>
      </c>
      <c r="B14" s="14" t="s">
        <v>37</v>
      </c>
      <c r="C14" s="10">
        <f>IFERROR(__xludf.DUMMYFUNCTION("""COMPUTED_VALUE"""),2.5)</f>
        <v>2.5</v>
      </c>
      <c r="D14" s="11">
        <f>IFERROR(__xludf.DUMMYFUNCTION("""COMPUTED_VALUE"""),4.4)</f>
        <v>4.4</v>
      </c>
      <c r="E14" s="10">
        <f>IFERROR(__xludf.DUMMYFUNCTION("""COMPUTED_VALUE"""),4.8)</f>
        <v>4.8</v>
      </c>
      <c r="F14" s="11">
        <f>IFERROR(__xludf.DUMMYFUNCTION("""COMPUTED_VALUE"""),4.3)</f>
        <v>4.3</v>
      </c>
      <c r="G14" s="11">
        <f>IFERROR(__xludf.DUMMYFUNCTION("""COMPUTED_VALUE"""),3.9)</f>
        <v>3.9</v>
      </c>
      <c r="H14" s="1">
        <f>IFERROR(__xludf.DUMMYFUNCTION("""COMPUTED_VALUE"""),4.8)</f>
        <v>4.8</v>
      </c>
      <c r="I14" s="1">
        <f>IFERROR(__xludf.DUMMYFUNCTION("""COMPUTED_VALUE"""),4.7)</f>
        <v>4.7</v>
      </c>
      <c r="J14" s="11">
        <f>IFERROR(__xludf.DUMMYFUNCTION("""COMPUTED_VALUE"""),5.0)</f>
        <v>5</v>
      </c>
      <c r="K14" s="11">
        <f>IFERROR(__xludf.DUMMYFUNCTION("""COMPUTED_VALUE"""),4.5)</f>
        <v>4.5</v>
      </c>
      <c r="L14" s="11">
        <f>IFERROR(__xludf.DUMMYFUNCTION("""COMPUTED_VALUE"""),5.0)</f>
        <v>5</v>
      </c>
      <c r="M14" s="11">
        <f>IFERROR(__xludf.DUMMYFUNCTION("""COMPUTED_VALUE"""),2.5)</f>
        <v>2.5</v>
      </c>
      <c r="N14" s="11"/>
      <c r="O14" s="12">
        <f>IFERROR(__xludf.DUMMYFUNCTION("""COMPUTED_VALUE"""),4.7)</f>
        <v>4.7</v>
      </c>
      <c r="P14" s="11"/>
      <c r="Q14" s="11">
        <f>IFERROR(__xludf.DUMMYFUNCTION("""COMPUTED_VALUE"""),1.7)</f>
        <v>1.7</v>
      </c>
      <c r="R14" s="11">
        <f>IFERROR(__xludf.DUMMYFUNCTION("""COMPUTED_VALUE"""),2.8)</f>
        <v>2.8</v>
      </c>
      <c r="S14" s="11">
        <f>IFERROR(__xludf.DUMMYFUNCTION("""COMPUTED_VALUE"""),4.5)</f>
        <v>4.5</v>
      </c>
      <c r="T14" s="11">
        <f>IFERROR(__xludf.DUMMYFUNCTION("""COMPUTED_VALUE"""),4.2)</f>
        <v>4.2</v>
      </c>
      <c r="U14" s="11">
        <f>IFERROR(__xludf.DUMMYFUNCTION("""COMPUTED_VALUE"""),5.0)</f>
        <v>5</v>
      </c>
      <c r="V14" s="11">
        <f>IFERROR(__xludf.DUMMYFUNCTION("""COMPUTED_VALUE"""),5.0)</f>
        <v>5</v>
      </c>
      <c r="W14" s="11"/>
      <c r="X14" s="11"/>
      <c r="Y14" s="11" t="str">
        <f>IFERROR(__xludf.DUMMYFUNCTION("""COMPUTED_VALUE"""),"U00193858")</f>
        <v>U00193858</v>
      </c>
      <c r="Z14" s="15">
        <f>IFERROR(__xludf.DUMMYFUNCTION("""COMPUTED_VALUE"""),55581.0)</f>
        <v>55581</v>
      </c>
      <c r="AA14" s="15">
        <f>IFERROR(__xludf.DUMMYFUNCTION("""COMPUTED_VALUE"""),1.5)</f>
        <v>1.5</v>
      </c>
    </row>
    <row r="15">
      <c r="A15" s="14">
        <v>14.0</v>
      </c>
      <c r="B15" s="14" t="s">
        <v>38</v>
      </c>
      <c r="C15" s="10">
        <f>IFERROR(__xludf.DUMMYFUNCTION("""COMPUTED_VALUE"""),3.5)</f>
        <v>3.5</v>
      </c>
      <c r="D15" s="11">
        <f>IFERROR(__xludf.DUMMYFUNCTION("""COMPUTED_VALUE"""),3.3)</f>
        <v>3.3</v>
      </c>
      <c r="E15" s="10">
        <f>IFERROR(__xludf.DUMMYFUNCTION("""COMPUTED_VALUE"""),3.8)</f>
        <v>3.8</v>
      </c>
      <c r="F15" s="11">
        <f>IFERROR(__xludf.DUMMYFUNCTION("""COMPUTED_VALUE"""),4.6)</f>
        <v>4.6</v>
      </c>
      <c r="G15" s="11">
        <f>IFERROR(__xludf.DUMMYFUNCTION("""COMPUTED_VALUE"""),3.7)</f>
        <v>3.7</v>
      </c>
      <c r="H15" s="1">
        <f>IFERROR(__xludf.DUMMYFUNCTION("""COMPUTED_VALUE"""),4.4)</f>
        <v>4.4</v>
      </c>
      <c r="I15" s="1">
        <f>IFERROR(__xludf.DUMMYFUNCTION("""COMPUTED_VALUE"""),5.0)</f>
        <v>5</v>
      </c>
      <c r="J15" s="11">
        <f>IFERROR(__xludf.DUMMYFUNCTION("""COMPUTED_VALUE"""),4.4)</f>
        <v>4.4</v>
      </c>
      <c r="K15" s="11">
        <f>IFERROR(__xludf.DUMMYFUNCTION("""COMPUTED_VALUE"""),5.0)</f>
        <v>5</v>
      </c>
      <c r="L15" s="11">
        <f>IFERROR(__xludf.DUMMYFUNCTION("""COMPUTED_VALUE"""),0.0)</f>
        <v>0</v>
      </c>
      <c r="M15" s="11">
        <f>IFERROR(__xludf.DUMMYFUNCTION("""COMPUTED_VALUE"""),2.5)</f>
        <v>2.5</v>
      </c>
      <c r="N15" s="11"/>
      <c r="O15" s="12">
        <f>IFERROR(__xludf.DUMMYFUNCTION("""COMPUTED_VALUE"""),3.8)</f>
        <v>3.8</v>
      </c>
      <c r="P15" s="11"/>
      <c r="Q15" s="11">
        <f>IFERROR(__xludf.DUMMYFUNCTION("""COMPUTED_VALUE"""),1.5)</f>
        <v>1.5</v>
      </c>
      <c r="R15" s="11">
        <f>IFERROR(__xludf.DUMMYFUNCTION("""COMPUTED_VALUE"""),2.6)</f>
        <v>2.6</v>
      </c>
      <c r="S15" s="11">
        <f>IFERROR(__xludf.DUMMYFUNCTION("""COMPUTED_VALUE"""),0.0)</f>
        <v>0</v>
      </c>
      <c r="T15" s="11">
        <f>IFERROR(__xludf.DUMMYFUNCTION("""COMPUTED_VALUE"""),5.0)</f>
        <v>5</v>
      </c>
      <c r="U15" s="11">
        <f>IFERROR(__xludf.DUMMYFUNCTION("""COMPUTED_VALUE"""),5.0)</f>
        <v>5</v>
      </c>
      <c r="V15" s="11">
        <f>IFERROR(__xludf.DUMMYFUNCTION("""COMPUTED_VALUE"""),5.0)</f>
        <v>5</v>
      </c>
      <c r="W15" s="11"/>
      <c r="X15" s="11"/>
      <c r="Y15" s="11" t="str">
        <f>IFERROR(__xludf.DUMMYFUNCTION("""COMPUTED_VALUE"""),"U00192059")</f>
        <v>U00192059</v>
      </c>
      <c r="Z15" s="15">
        <f>IFERROR(__xludf.DUMMYFUNCTION("""COMPUTED_VALUE"""),55581.0)</f>
        <v>55581</v>
      </c>
      <c r="AA15" s="15">
        <f>IFERROR(__xludf.DUMMYFUNCTION("""COMPUTED_VALUE"""),2.6)</f>
        <v>2.6</v>
      </c>
    </row>
    <row r="16">
      <c r="A16" s="14">
        <v>15.0</v>
      </c>
      <c r="B16" s="14" t="s">
        <v>39</v>
      </c>
      <c r="C16" s="10">
        <f>IFERROR(__xludf.DUMMYFUNCTION("""COMPUTED_VALUE"""),4.4)</f>
        <v>4.4</v>
      </c>
      <c r="D16" s="11">
        <f>IFERROR(__xludf.DUMMYFUNCTION("""COMPUTED_VALUE"""),3.6)</f>
        <v>3.6</v>
      </c>
      <c r="E16" s="10">
        <f>IFERROR(__xludf.DUMMYFUNCTION("""COMPUTED_VALUE"""),4.5)</f>
        <v>4.5</v>
      </c>
      <c r="F16" s="11"/>
      <c r="G16" s="11">
        <f>IFERROR(__xludf.DUMMYFUNCTION("""COMPUTED_VALUE"""),4.2)</f>
        <v>4.2</v>
      </c>
      <c r="H16" s="1">
        <f>IFERROR(__xludf.DUMMYFUNCTION("""COMPUTED_VALUE"""),4.8)</f>
        <v>4.8</v>
      </c>
      <c r="I16" s="1">
        <f>IFERROR(__xludf.DUMMYFUNCTION("""COMPUTED_VALUE"""),4.1)</f>
        <v>4.1</v>
      </c>
      <c r="J16" s="11">
        <f>IFERROR(__xludf.DUMMYFUNCTION("""COMPUTED_VALUE"""),4.4)</f>
        <v>4.4</v>
      </c>
      <c r="K16" s="11">
        <f>IFERROR(__xludf.DUMMYFUNCTION("""COMPUTED_VALUE"""),4.8)</f>
        <v>4.8</v>
      </c>
      <c r="L16" s="11">
        <f>IFERROR(__xludf.DUMMYFUNCTION("""COMPUTED_VALUE"""),4.3)</f>
        <v>4.3</v>
      </c>
      <c r="M16" s="11">
        <f>IFERROR(__xludf.DUMMYFUNCTION("""COMPUTED_VALUE"""),3.9)</f>
        <v>3.9</v>
      </c>
      <c r="N16" s="11"/>
      <c r="O16" s="12">
        <f>IFERROR(__xludf.DUMMYFUNCTION("""COMPUTED_VALUE"""),4.9)</f>
        <v>4.9</v>
      </c>
      <c r="P16" s="11"/>
      <c r="Q16" s="11">
        <f>IFERROR(__xludf.DUMMYFUNCTION("""COMPUTED_VALUE"""),2.2)</f>
        <v>2.2</v>
      </c>
      <c r="R16" s="11">
        <f>IFERROR(__xludf.DUMMYFUNCTION("""COMPUTED_VALUE"""),3.2)</f>
        <v>3.2</v>
      </c>
      <c r="S16" s="11">
        <f>IFERROR(__xludf.DUMMYFUNCTION("""COMPUTED_VALUE"""),4.5)</f>
        <v>4.5</v>
      </c>
      <c r="T16" s="11">
        <f>IFERROR(__xludf.DUMMYFUNCTION("""COMPUTED_VALUE"""),5.0)</f>
        <v>5</v>
      </c>
      <c r="U16" s="11">
        <f>IFERROR(__xludf.DUMMYFUNCTION("""COMPUTED_VALUE"""),5.0)</f>
        <v>5</v>
      </c>
      <c r="V16" s="11">
        <f>IFERROR(__xludf.DUMMYFUNCTION("""COMPUTED_VALUE"""),5.0)</f>
        <v>5</v>
      </c>
      <c r="W16" s="11"/>
      <c r="X16" s="11"/>
      <c r="Y16" s="11" t="str">
        <f>IFERROR(__xludf.DUMMYFUNCTION("""COMPUTED_VALUE"""),"U00192970")</f>
        <v>U00192970</v>
      </c>
      <c r="Z16" s="15">
        <f>IFERROR(__xludf.DUMMYFUNCTION("""COMPUTED_VALUE"""),55581.0)</f>
        <v>55581</v>
      </c>
      <c r="AA16" s="15">
        <f>IFERROR(__xludf.DUMMYFUNCTION("""COMPUTED_VALUE"""),3.5)</f>
        <v>3.5</v>
      </c>
    </row>
    <row r="17">
      <c r="A17" s="14">
        <v>16.0</v>
      </c>
      <c r="B17" s="14" t="s">
        <v>40</v>
      </c>
      <c r="C17" s="10">
        <f>IFERROR(__xludf.DUMMYFUNCTION("""COMPUTED_VALUE"""),2.0)</f>
        <v>2</v>
      </c>
      <c r="D17" s="11">
        <f>IFERROR(__xludf.DUMMYFUNCTION("""COMPUTED_VALUE"""),0.3)</f>
        <v>0.3</v>
      </c>
      <c r="E17" s="10">
        <f>IFERROR(__xludf.DUMMYFUNCTION("""COMPUTED_VALUE"""),1.7)</f>
        <v>1.7</v>
      </c>
      <c r="F17" s="11"/>
      <c r="G17" s="11">
        <f>IFERROR(__xludf.DUMMYFUNCTION("""COMPUTED_VALUE"""),1.3)</f>
        <v>1.3</v>
      </c>
      <c r="H17" s="1">
        <f>IFERROR(__xludf.DUMMYFUNCTION("""COMPUTED_VALUE"""),4.3)</f>
        <v>4.3</v>
      </c>
      <c r="I17" s="1">
        <f>IFERROR(__xludf.DUMMYFUNCTION("""COMPUTED_VALUE"""),0.0)</f>
        <v>0</v>
      </c>
      <c r="J17" s="11">
        <f>IFERROR(__xludf.DUMMYFUNCTION("""COMPUTED_VALUE"""),4.4)</f>
        <v>4.4</v>
      </c>
      <c r="K17" s="11">
        <f>IFERROR(__xludf.DUMMYFUNCTION("""COMPUTED_VALUE"""),0.0)</f>
        <v>0</v>
      </c>
      <c r="L17" s="11">
        <f>IFERROR(__xludf.DUMMYFUNCTION("""COMPUTED_VALUE"""),0.0)</f>
        <v>0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 t="str">
        <f>IFERROR(__xludf.DUMMYFUNCTION("""COMPUTED_VALUE"""),"U00193142")</f>
        <v>U00193142</v>
      </c>
      <c r="Z17" s="15">
        <f>IFERROR(__xludf.DUMMYFUNCTION("""COMPUTED_VALUE"""),55581.0)</f>
        <v>55581</v>
      </c>
      <c r="AA17" s="15">
        <f>IFERROR(__xludf.DUMMYFUNCTION("""COMPUTED_VALUE"""),1.6)</f>
        <v>1.6</v>
      </c>
    </row>
    <row r="18">
      <c r="A18" s="14">
        <v>17.0</v>
      </c>
      <c r="B18" s="14" t="s">
        <v>41</v>
      </c>
      <c r="C18" s="10">
        <f>IFERROR(__xludf.DUMMYFUNCTION("""COMPUTED_VALUE"""),2.0)</f>
        <v>2</v>
      </c>
      <c r="D18" s="11">
        <f>IFERROR(__xludf.DUMMYFUNCTION("""COMPUTED_VALUE"""),3.0)</f>
        <v>3</v>
      </c>
      <c r="E18" s="10">
        <f>IFERROR(__xludf.DUMMYFUNCTION("""COMPUTED_VALUE"""),2.8)</f>
        <v>2.8</v>
      </c>
      <c r="F18" s="11"/>
      <c r="G18" s="11">
        <f>IFERROR(__xludf.DUMMYFUNCTION("""COMPUTED_VALUE"""),2.6)</f>
        <v>2.6</v>
      </c>
      <c r="H18" s="1">
        <f>IFERROR(__xludf.DUMMYFUNCTION("""COMPUTED_VALUE"""),0.2)</f>
        <v>0.2</v>
      </c>
      <c r="I18" s="1">
        <f>IFERROR(__xludf.DUMMYFUNCTION("""COMPUTED_VALUE"""),0.0)</f>
        <v>0</v>
      </c>
      <c r="J18" s="11">
        <f>IFERROR(__xludf.DUMMYFUNCTION("""COMPUTED_VALUE"""),4.1)</f>
        <v>4.1</v>
      </c>
      <c r="K18" s="11">
        <f>IFERROR(__xludf.DUMMYFUNCTION("""COMPUTED_VALUE"""),5.0)</f>
        <v>5</v>
      </c>
      <c r="L18" s="11">
        <f>IFERROR(__xludf.DUMMYFUNCTION("""COMPUTED_VALUE"""),4.7)</f>
        <v>4.7</v>
      </c>
      <c r="M18" s="11">
        <f>IFERROR(__xludf.DUMMYFUNCTION("""COMPUTED_VALUE"""),3.0)</f>
        <v>3</v>
      </c>
      <c r="N18" s="11"/>
      <c r="O18" s="12">
        <f>IFERROR(__xludf.DUMMYFUNCTION("""COMPUTED_VALUE"""),5.0)</f>
        <v>5</v>
      </c>
      <c r="P18" s="11"/>
      <c r="Q18" s="11">
        <f>IFERROR(__xludf.DUMMYFUNCTION("""COMPUTED_VALUE"""),1.9)</f>
        <v>1.9</v>
      </c>
      <c r="R18" s="11">
        <f>IFERROR(__xludf.DUMMYFUNCTION("""COMPUTED_VALUE"""),2.2)</f>
        <v>2.2</v>
      </c>
      <c r="S18" s="11">
        <f>IFERROR(__xludf.DUMMYFUNCTION("""COMPUTED_VALUE"""),5.0)</f>
        <v>5</v>
      </c>
      <c r="T18" s="11">
        <f>IFERROR(__xludf.DUMMYFUNCTION("""COMPUTED_VALUE"""),5.0)</f>
        <v>5</v>
      </c>
      <c r="U18" s="11">
        <f>IFERROR(__xludf.DUMMYFUNCTION("""COMPUTED_VALUE"""),5.0)</f>
        <v>5</v>
      </c>
      <c r="V18" s="11">
        <f>IFERROR(__xludf.DUMMYFUNCTION("""COMPUTED_VALUE"""),5.0)</f>
        <v>5</v>
      </c>
      <c r="W18" s="11"/>
      <c r="X18" s="11"/>
      <c r="Y18" s="11" t="str">
        <f>IFERROR(__xludf.DUMMYFUNCTION("""COMPUTED_VALUE"""),"U00186645")</f>
        <v>U00186645</v>
      </c>
      <c r="Z18" s="15">
        <f>IFERROR(__xludf.DUMMYFUNCTION("""COMPUTED_VALUE"""),55581.0)</f>
        <v>55581</v>
      </c>
      <c r="AA18" s="15">
        <f>IFERROR(__xludf.DUMMYFUNCTION("""COMPUTED_VALUE"""),2.0)</f>
        <v>2</v>
      </c>
    </row>
    <row r="19">
      <c r="A19" s="14">
        <v>18.0</v>
      </c>
      <c r="B19" s="14" t="s">
        <v>42</v>
      </c>
      <c r="C19" s="10">
        <f>IFERROR(__xludf.DUMMYFUNCTION("""COMPUTED_VALUE"""),5.0)</f>
        <v>5</v>
      </c>
      <c r="D19" s="11">
        <f>IFERROR(__xludf.DUMMYFUNCTION("""COMPUTED_VALUE"""),5.0)</f>
        <v>5</v>
      </c>
      <c r="E19" s="10">
        <f>IFERROR(__xludf.DUMMYFUNCTION("""COMPUTED_VALUE"""),4.5)</f>
        <v>4.5</v>
      </c>
      <c r="F19" s="11">
        <f>IFERROR(__xludf.DUMMYFUNCTION("""COMPUTED_VALUE"""),4.8)</f>
        <v>4.8</v>
      </c>
      <c r="G19" s="11">
        <f>IFERROR(__xludf.DUMMYFUNCTION("""COMPUTED_VALUE"""),4.9)</f>
        <v>4.9</v>
      </c>
      <c r="H19" s="1">
        <f>IFERROR(__xludf.DUMMYFUNCTION("""COMPUTED_VALUE"""),5.0)</f>
        <v>5</v>
      </c>
      <c r="I19" s="1">
        <f>IFERROR(__xludf.DUMMYFUNCTION("""COMPUTED_VALUE"""),4.4)</f>
        <v>4.4</v>
      </c>
      <c r="J19" s="11">
        <f>IFERROR(__xludf.DUMMYFUNCTION("""COMPUTED_VALUE"""),4.4)</f>
        <v>4.4</v>
      </c>
      <c r="K19" s="11">
        <f>IFERROR(__xludf.DUMMYFUNCTION("""COMPUTED_VALUE"""),4.5)</f>
        <v>4.5</v>
      </c>
      <c r="L19" s="11">
        <f>IFERROR(__xludf.DUMMYFUNCTION("""COMPUTED_VALUE"""),4.3)</f>
        <v>4.3</v>
      </c>
      <c r="M19" s="11">
        <f>IFERROR(__xludf.DUMMYFUNCTION("""COMPUTED_VALUE"""),5.0)</f>
        <v>5</v>
      </c>
      <c r="N19" s="11"/>
      <c r="O19" s="12">
        <f>IFERROR(__xludf.DUMMYFUNCTION("""COMPUTED_VALUE"""),5.0)</f>
        <v>5</v>
      </c>
      <c r="P19" s="11"/>
      <c r="Q19" s="11">
        <f>IFERROR(__xludf.DUMMYFUNCTION("""COMPUTED_VALUE"""),2.5)</f>
        <v>2.5</v>
      </c>
      <c r="R19" s="11">
        <f>IFERROR(__xludf.DUMMYFUNCTION("""COMPUTED_VALUE"""),3.7)</f>
        <v>3.7</v>
      </c>
      <c r="S19" s="11">
        <f>IFERROR(__xludf.DUMMYFUNCTION("""COMPUTED_VALUE"""),5.0)</f>
        <v>5</v>
      </c>
      <c r="T19" s="11">
        <f>IFERROR(__xludf.DUMMYFUNCTION("""COMPUTED_VALUE"""),5.0)</f>
        <v>5</v>
      </c>
      <c r="U19" s="11">
        <f>IFERROR(__xludf.DUMMYFUNCTION("""COMPUTED_VALUE"""),5.0)</f>
        <v>5</v>
      </c>
      <c r="V19" s="11">
        <f>IFERROR(__xludf.DUMMYFUNCTION("""COMPUTED_VALUE"""),5.0)</f>
        <v>5</v>
      </c>
      <c r="W19" s="11"/>
      <c r="X19" s="11"/>
      <c r="Y19" s="11" t="str">
        <f>IFERROR(__xludf.DUMMYFUNCTION("""COMPUTED_VALUE"""),"U00191929")</f>
        <v>U00191929</v>
      </c>
      <c r="Z19" s="15">
        <f>IFERROR(__xludf.DUMMYFUNCTION("""COMPUTED_VALUE"""),55581.0)</f>
        <v>55581</v>
      </c>
      <c r="AA19" s="15">
        <f>IFERROR(__xludf.DUMMYFUNCTION("""COMPUTED_VALUE"""),4.4)</f>
        <v>4.4</v>
      </c>
    </row>
    <row r="20">
      <c r="A20" s="14">
        <v>19.0</v>
      </c>
      <c r="B20" s="14" t="s">
        <v>43</v>
      </c>
      <c r="C20" s="10">
        <f>IFERROR(__xludf.DUMMYFUNCTION("""COMPUTED_VALUE"""),4.4)</f>
        <v>4.4</v>
      </c>
      <c r="D20" s="11">
        <f>IFERROR(__xludf.DUMMYFUNCTION("""COMPUTED_VALUE"""),4.3)</f>
        <v>4.3</v>
      </c>
      <c r="E20" s="10">
        <f>IFERROR(__xludf.DUMMYFUNCTION("""COMPUTED_VALUE"""),3.6)</f>
        <v>3.6</v>
      </c>
      <c r="F20" s="11">
        <f>IFERROR(__xludf.DUMMYFUNCTION("""COMPUTED_VALUE"""),4.5)</f>
        <v>4.5</v>
      </c>
      <c r="G20" s="11">
        <f>IFERROR(__xludf.DUMMYFUNCTION("""COMPUTED_VALUE"""),4.2)</f>
        <v>4.2</v>
      </c>
      <c r="H20" s="1">
        <f>IFERROR(__xludf.DUMMYFUNCTION("""COMPUTED_VALUE"""),4.8)</f>
        <v>4.8</v>
      </c>
      <c r="I20" s="1">
        <f>IFERROR(__xludf.DUMMYFUNCTION("""COMPUTED_VALUE"""),4.7)</f>
        <v>4.7</v>
      </c>
      <c r="J20" s="11">
        <f>IFERROR(__xludf.DUMMYFUNCTION("""COMPUTED_VALUE"""),4.1)</f>
        <v>4.1</v>
      </c>
      <c r="K20" s="11">
        <f>IFERROR(__xludf.DUMMYFUNCTION("""COMPUTED_VALUE"""),4.5)</f>
        <v>4.5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/>
      <c r="O20" s="12">
        <f>IFERROR(__xludf.DUMMYFUNCTION("""COMPUTED_VALUE"""),4.8)</f>
        <v>4.8</v>
      </c>
      <c r="P20" s="11"/>
      <c r="Q20" s="11">
        <f>IFERROR(__xludf.DUMMYFUNCTION("""COMPUTED_VALUE"""),2.5)</f>
        <v>2.5</v>
      </c>
      <c r="R20" s="11">
        <f>IFERROR(__xludf.DUMMYFUNCTION("""COMPUTED_VALUE"""),3.3)</f>
        <v>3.3</v>
      </c>
      <c r="S20" s="11">
        <f>IFERROR(__xludf.DUMMYFUNCTION("""COMPUTED_VALUE"""),5.0)</f>
        <v>5</v>
      </c>
      <c r="T20" s="11">
        <f>IFERROR(__xludf.DUMMYFUNCTION("""COMPUTED_VALUE"""),4.2)</f>
        <v>4.2</v>
      </c>
      <c r="U20" s="11">
        <f>IFERROR(__xludf.DUMMYFUNCTION("""COMPUTED_VALUE"""),5.0)</f>
        <v>5</v>
      </c>
      <c r="V20" s="11">
        <f>IFERROR(__xludf.DUMMYFUNCTION("""COMPUTED_VALUE"""),5.0)</f>
        <v>5</v>
      </c>
      <c r="W20" s="11"/>
      <c r="X20" s="11"/>
      <c r="Y20" s="11" t="str">
        <f>IFERROR(__xludf.DUMMYFUNCTION("""COMPUTED_VALUE"""),"U00194227")</f>
        <v>U00194227</v>
      </c>
      <c r="Z20" s="15">
        <f>IFERROR(__xludf.DUMMYFUNCTION("""COMPUTED_VALUE"""),55581.0)</f>
        <v>55581</v>
      </c>
      <c r="AA20" s="15">
        <f>IFERROR(__xludf.DUMMYFUNCTION("""COMPUTED_VALUE"""),3.4)</f>
        <v>3.4</v>
      </c>
    </row>
    <row r="21">
      <c r="A21" s="14">
        <v>20.0</v>
      </c>
      <c r="B21" s="14" t="s">
        <v>44</v>
      </c>
      <c r="C21" s="10">
        <f>IFERROR(__xludf.DUMMYFUNCTION("""COMPUTED_VALUE"""),4.9)</f>
        <v>4.9</v>
      </c>
      <c r="D21" s="11">
        <f>IFERROR(__xludf.DUMMYFUNCTION("""COMPUTED_VALUE"""),5.0)</f>
        <v>5</v>
      </c>
      <c r="E21" s="10">
        <f>IFERROR(__xludf.DUMMYFUNCTION("""COMPUTED_VALUE"""),4.3)</f>
        <v>4.3</v>
      </c>
      <c r="F21" s="11"/>
      <c r="G21" s="11">
        <f>IFERROR(__xludf.DUMMYFUNCTION("""COMPUTED_VALUE"""),4.8)</f>
        <v>4.8</v>
      </c>
      <c r="H21" s="1">
        <f>IFERROR(__xludf.DUMMYFUNCTION("""COMPUTED_VALUE"""),4.6)</f>
        <v>4.6</v>
      </c>
      <c r="I21" s="1">
        <f>IFERROR(__xludf.DUMMYFUNCTION("""COMPUTED_VALUE"""),4.4)</f>
        <v>4.4</v>
      </c>
      <c r="J21" s="11">
        <f>IFERROR(__xludf.DUMMYFUNCTION("""COMPUTED_VALUE"""),3.8)</f>
        <v>3.8</v>
      </c>
      <c r="K21" s="11">
        <f>IFERROR(__xludf.DUMMYFUNCTION("""COMPUTED_VALUE"""),4.3)</f>
        <v>4.3</v>
      </c>
      <c r="L21" s="11">
        <f>IFERROR(__xludf.DUMMYFUNCTION("""COMPUTED_VALUE"""),4.3)</f>
        <v>4.3</v>
      </c>
      <c r="M21" s="11">
        <f>IFERROR(__xludf.DUMMYFUNCTION("""COMPUTED_VALUE"""),5.0)</f>
        <v>5</v>
      </c>
      <c r="N21" s="11"/>
      <c r="O21" s="12">
        <f>IFERROR(__xludf.DUMMYFUNCTION("""COMPUTED_VALUE"""),4.8)</f>
        <v>4.8</v>
      </c>
      <c r="P21" s="11"/>
      <c r="Q21" s="11">
        <f>IFERROR(__xludf.DUMMYFUNCTION("""COMPUTED_VALUE"""),2.5)</f>
        <v>2.5</v>
      </c>
      <c r="R21" s="11">
        <f>IFERROR(__xludf.DUMMYFUNCTION("""COMPUTED_VALUE"""),3.6)</f>
        <v>3.6</v>
      </c>
      <c r="S21" s="11">
        <f>IFERROR(__xludf.DUMMYFUNCTION("""COMPUTED_VALUE"""),5.0)</f>
        <v>5</v>
      </c>
      <c r="T21" s="11">
        <f>IFERROR(__xludf.DUMMYFUNCTION("""COMPUTED_VALUE"""),4.2)</f>
        <v>4.2</v>
      </c>
      <c r="U21" s="11">
        <f>IFERROR(__xludf.DUMMYFUNCTION("""COMPUTED_VALUE"""),5.0)</f>
        <v>5</v>
      </c>
      <c r="V21" s="11">
        <f>IFERROR(__xludf.DUMMYFUNCTION("""COMPUTED_VALUE"""),5.0)</f>
        <v>5</v>
      </c>
      <c r="W21" s="11"/>
      <c r="X21" s="11"/>
      <c r="Y21" s="11" t="str">
        <f>IFERROR(__xludf.DUMMYFUNCTION("""COMPUTED_VALUE"""),"U00194368")</f>
        <v>U00194368</v>
      </c>
      <c r="Z21" s="15">
        <f>IFERROR(__xludf.DUMMYFUNCTION("""COMPUTED_VALUE"""),55581.0)</f>
        <v>55581</v>
      </c>
      <c r="AA21" s="15">
        <f>IFERROR(__xludf.DUMMYFUNCTION("""COMPUTED_VALUE"""),4.0)</f>
        <v>4</v>
      </c>
    </row>
    <row r="22">
      <c r="C22" s="12">
        <f>IFERROR(__xludf.DUMMYFUNCTION("""COMPUTED_VALUE"""),3.585)</f>
        <v>3.585</v>
      </c>
      <c r="D22" s="12">
        <f>IFERROR(__xludf.DUMMYFUNCTION("""COMPUTED_VALUE"""),3.59)</f>
        <v>3.59</v>
      </c>
      <c r="E22" s="12">
        <f>IFERROR(__xludf.DUMMYFUNCTION("""COMPUTED_VALUE"""),3.814999999999999)</f>
        <v>3.815</v>
      </c>
      <c r="F22" s="12">
        <f>IFERROR(__xludf.DUMMYFUNCTION("""COMPUTED_VALUE"""),4.233333333333333)</f>
        <v>4.233333333</v>
      </c>
      <c r="G22" s="12">
        <f>IFERROR(__xludf.DUMMYFUNCTION("""COMPUTED_VALUE"""),3.7050000000000005)</f>
        <v>3.705</v>
      </c>
      <c r="H22" s="12">
        <f>IFERROR(__xludf.DUMMYFUNCTION("""COMPUTED_VALUE"""),4.1949999999999985)</f>
        <v>4.195</v>
      </c>
      <c r="I22" s="12">
        <f>IFERROR(__xludf.DUMMYFUNCTION("""COMPUTED_VALUE"""),3.5550000000000006)</f>
        <v>3.555</v>
      </c>
      <c r="J22" s="12">
        <f>IFERROR(__xludf.DUMMYFUNCTION("""COMPUTED_VALUE"""),3.9899999999999998)</f>
        <v>3.99</v>
      </c>
      <c r="K22" s="12">
        <f>IFERROR(__xludf.DUMMYFUNCTION("""COMPUTED_VALUE"""),3.7299999999999995)</f>
        <v>3.73</v>
      </c>
      <c r="L22" s="12">
        <f>IFERROR(__xludf.DUMMYFUNCTION("""COMPUTED_VALUE"""),3.575)</f>
        <v>3.575</v>
      </c>
      <c r="M22" s="12">
        <f>IFERROR(__xludf.DUMMYFUNCTION("""COMPUTED_VALUE"""),3.9578947368421047)</f>
        <v>3.957894737</v>
      </c>
      <c r="N22" s="13"/>
      <c r="O22" s="12">
        <f>IFERROR(__xludf.DUMMYFUNCTION("""COMPUTED_VALUE"""),4.652631578947368)</f>
        <v>4.652631579</v>
      </c>
      <c r="P22" s="13"/>
      <c r="Q22" s="12">
        <f>IFERROR(__xludf.DUMMYFUNCTION("""COMPUTED_VALUE"""),2.126315789473684)</f>
        <v>2.126315789</v>
      </c>
      <c r="R22" s="12">
        <f>IFERROR(__xludf.DUMMYFUNCTION("""COMPUTED_VALUE"""),2.9526315789473685)</f>
        <v>2.952631579</v>
      </c>
      <c r="S22" s="12">
        <f>IFERROR(__xludf.DUMMYFUNCTION("""COMPUTED_VALUE"""),4.526315789473684)</f>
        <v>4.526315789</v>
      </c>
      <c r="T22" s="12">
        <f>IFERROR(__xludf.DUMMYFUNCTION("""COMPUTED_VALUE"""),4.405263157894737)</f>
        <v>4.405263158</v>
      </c>
      <c r="U22" s="12">
        <f>IFERROR(__xludf.DUMMYFUNCTION("""COMPUTED_VALUE"""),4.610526315789474)</f>
        <v>4.610526316</v>
      </c>
      <c r="V22" s="12">
        <f>IFERROR(__xludf.DUMMYFUNCTION("""COMPUTED_VALUE"""),5.0)</f>
        <v>5</v>
      </c>
      <c r="W22" s="13"/>
      <c r="X22" s="13"/>
      <c r="Y22" s="13"/>
      <c r="Z22" s="15"/>
      <c r="AA22" s="15"/>
    </row>
    <row r="23"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</row>
    <row r="24"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5" width="5.25"/>
    <col customWidth="1" min="26" max="26" width="9.5"/>
    <col customWidth="1" min="27" max="27" width="6.75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IFERROR(__xludf.DUMMYFUNCTION("IMPORTRANGE(""1vS2gE-mc1A6CX14zq-8uhU927dLafFRogBm_03E8occ"",""MAT2_B!C1:AA26"")"),"P1")</f>
        <v>P1</v>
      </c>
      <c r="D1" s="1" t="str">
        <f>IFERROR(__xludf.DUMMYFUNCTION("""COMPUTED_VALUE"""),"P2")</f>
        <v>P2</v>
      </c>
      <c r="E1" s="1" t="str">
        <f>IFERROR(__xludf.DUMMYFUNCTION("""COMPUTED_VALUE"""),"PQT1")</f>
        <v>PQT1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IFERROR(__xludf.DUMMYFUNCTION("""COMPUTED_VALUE"""),"Ta6")</f>
        <v>Ta6</v>
      </c>
      <c r="M1" s="1" t="str">
        <f>IFERROR(__xludf.DUMMYFUNCTION("""COMPUTED_VALUE"""),"Ta7")</f>
        <v>Ta7</v>
      </c>
      <c r="N1" s="1" t="str">
        <f>IFERROR(__xludf.DUMMYFUNCTION("""COMPUTED_VALUE"""),"P3")</f>
        <v>P3</v>
      </c>
      <c r="O1" s="1" t="str">
        <f>IFERROR(__xludf.DUMMYFUNCTION("""COMPUTED_VALUE"""),"P4")</f>
        <v>P4</v>
      </c>
      <c r="P1" s="1" t="str">
        <f>IFERROR(__xludf.DUMMYFUNCTION("""COMPUTED_VALUE"""),"PQT2")</f>
        <v>PQT2</v>
      </c>
      <c r="Q1" s="1" t="str">
        <f>IFERROR(__xludf.DUMMYFUNCTION("""COMPUTED_VALUE"""),"PA")</f>
        <v>PA</v>
      </c>
      <c r="R1" s="1" t="str">
        <f>IFERROR(__xludf.DUMMYFUNCTION("""COMPUTED_VALUE"""),"2CTE")</f>
        <v>2CTE</v>
      </c>
      <c r="S1" s="1" t="str">
        <f>IFERROR(__xludf.DUMMYFUNCTION("""COMPUTED_VALUE"""),"FINAL")</f>
        <v>FINAL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IFERROR(__xludf.DUMMYFUNCTION("""COMPUTED_VALUE"""),"Ta12")</f>
        <v>Ta12</v>
      </c>
      <c r="Y1" s="1" t="str">
        <f>IFERROR(__xludf.DUMMYFUNCTION("""COMPUTED_VALUE"""),"Ta13")</f>
        <v>Ta13</v>
      </c>
      <c r="Z1" s="15" t="str">
        <f>IFERROR(__xludf.DUMMYFUNCTION("""COMPUTED_VALUE"""),"Ta14")</f>
        <v>Ta14</v>
      </c>
      <c r="AA1" s="15" t="str">
        <f>IFERROR(__xludf.DUMMYFUNCTION("""COMPUTED_VALUE"""),"ID")</f>
        <v>ID</v>
      </c>
    </row>
    <row r="2">
      <c r="A2" s="14">
        <v>1.0</v>
      </c>
      <c r="B2" s="14" t="s">
        <v>45</v>
      </c>
      <c r="C2" s="10">
        <f>IFERROR(__xludf.DUMMYFUNCTION("""COMPUTED_VALUE"""),2.4)</f>
        <v>2.4</v>
      </c>
      <c r="D2" s="11">
        <f>IFERROR(__xludf.DUMMYFUNCTION("""COMPUTED_VALUE"""),1.7)</f>
        <v>1.7</v>
      </c>
      <c r="E2" s="10">
        <f>IFERROR(__xludf.DUMMYFUNCTION("""COMPUTED_VALUE"""),4.7)</f>
        <v>4.7</v>
      </c>
      <c r="F2" s="11">
        <f>IFERROR(__xludf.DUMMYFUNCTION("""COMPUTED_VALUE"""),2.8)</f>
        <v>2.8</v>
      </c>
      <c r="G2" s="1">
        <f>IFERROR(__xludf.DUMMYFUNCTION("""COMPUTED_VALUE"""),4.8)</f>
        <v>4.8</v>
      </c>
      <c r="H2" s="1">
        <f>IFERROR(__xludf.DUMMYFUNCTION("""COMPUTED_VALUE"""),4.9)</f>
        <v>4.9</v>
      </c>
      <c r="I2" s="1">
        <f>IFERROR(__xludf.DUMMYFUNCTION("""COMPUTED_VALUE"""),4.2)</f>
        <v>4.2</v>
      </c>
      <c r="J2" s="11">
        <f>IFERROR(__xludf.DUMMYFUNCTION("""COMPUTED_VALUE"""),0.0)</f>
        <v>0</v>
      </c>
      <c r="K2" s="11">
        <f>IFERROR(__xludf.DUMMYFUNCTION("""COMPUTED_VALUE"""),4.3)</f>
        <v>4.3</v>
      </c>
      <c r="L2" s="11">
        <f>IFERROR(__xludf.DUMMYFUNCTION("""COMPUTED_VALUE"""),5.0)</f>
        <v>5</v>
      </c>
      <c r="M2" s="11">
        <f>IFERROR(__xludf.DUMMYFUNCTION("""COMPUTED_VALUE"""),5.0)</f>
        <v>5</v>
      </c>
      <c r="N2" s="11">
        <f>IFERROR(__xludf.DUMMYFUNCTION("""COMPUTED_VALUE"""),1.6)</f>
        <v>1.6</v>
      </c>
      <c r="O2" s="11"/>
      <c r="P2" s="12">
        <f>IFERROR(__xludf.DUMMYFUNCTION("""COMPUTED_VALUE"""),3.9)</f>
        <v>3.9</v>
      </c>
      <c r="Q2" s="11"/>
      <c r="R2" s="11">
        <f>IFERROR(__xludf.DUMMYFUNCTION("""COMPUTED_VALUE"""),1.3)</f>
        <v>1.3</v>
      </c>
      <c r="S2" s="11">
        <f>IFERROR(__xludf.DUMMYFUNCTION("""COMPUTED_VALUE"""),2.0)</f>
        <v>2</v>
      </c>
      <c r="T2" s="11">
        <f>IFERROR(__xludf.DUMMYFUNCTION("""COMPUTED_VALUE"""),2.8)</f>
        <v>2.8</v>
      </c>
      <c r="U2" s="11">
        <f>IFERROR(__xludf.DUMMYFUNCTION("""COMPUTED_VALUE"""),5.0)</f>
        <v>5</v>
      </c>
      <c r="V2" s="11"/>
      <c r="W2" s="11"/>
      <c r="X2" s="11"/>
      <c r="Y2" s="11"/>
      <c r="Z2" s="15"/>
      <c r="AA2" s="15" t="str">
        <f>IFERROR(__xludf.DUMMYFUNCTION("""COMPUTED_VALUE"""),"U00186151")</f>
        <v>U00186151</v>
      </c>
    </row>
    <row r="3">
      <c r="A3" s="14">
        <v>2.0</v>
      </c>
      <c r="B3" s="14" t="s">
        <v>46</v>
      </c>
      <c r="C3" s="10">
        <f>IFERROR(__xludf.DUMMYFUNCTION("""COMPUTED_VALUE"""),3.4)</f>
        <v>3.4</v>
      </c>
      <c r="D3" s="11">
        <f>IFERROR(__xludf.DUMMYFUNCTION("""COMPUTED_VALUE"""),5.0)</f>
        <v>5</v>
      </c>
      <c r="E3" s="10">
        <f>IFERROR(__xludf.DUMMYFUNCTION("""COMPUTED_VALUE"""),4.8)</f>
        <v>4.8</v>
      </c>
      <c r="F3" s="11">
        <f>IFERROR(__xludf.DUMMYFUNCTION("""COMPUTED_VALUE"""),4.4)</f>
        <v>4.4</v>
      </c>
      <c r="G3" s="1">
        <f>IFERROR(__xludf.DUMMYFUNCTION("""COMPUTED_VALUE"""),4.5)</f>
        <v>4.5</v>
      </c>
      <c r="H3" s="1">
        <f>IFERROR(__xludf.DUMMYFUNCTION("""COMPUTED_VALUE"""),4.8)</f>
        <v>4.8</v>
      </c>
      <c r="I3" s="1">
        <f>IFERROR(__xludf.DUMMYFUNCTION("""COMPUTED_VALUE"""),4.5)</f>
        <v>4.5</v>
      </c>
      <c r="J3" s="11">
        <f>IFERROR(__xludf.DUMMYFUNCTION("""COMPUTED_VALUE"""),5.0)</f>
        <v>5</v>
      </c>
      <c r="K3" s="11">
        <f>IFERROR(__xludf.DUMMYFUNCTION("""COMPUTED_VALUE"""),4.3)</f>
        <v>4.3</v>
      </c>
      <c r="L3" s="11">
        <f>IFERROR(__xludf.DUMMYFUNCTION("""COMPUTED_VALUE"""),4.8)</f>
        <v>4.8</v>
      </c>
      <c r="M3" s="11">
        <f>IFERROR(__xludf.DUMMYFUNCTION("""COMPUTED_VALUE"""),5.0)</f>
        <v>5</v>
      </c>
      <c r="N3" s="11">
        <f>IFERROR(__xludf.DUMMYFUNCTION("""COMPUTED_VALUE"""),4.0)</f>
        <v>4</v>
      </c>
      <c r="O3" s="11"/>
      <c r="P3" s="12">
        <f>IFERROR(__xludf.DUMMYFUNCTION("""COMPUTED_VALUE"""),2.3)</f>
        <v>2.3</v>
      </c>
      <c r="Q3" s="11"/>
      <c r="R3" s="11">
        <f>IFERROR(__xludf.DUMMYFUNCTION("""COMPUTED_VALUE"""),1.7)</f>
        <v>1.7</v>
      </c>
      <c r="S3" s="11">
        <f>IFERROR(__xludf.DUMMYFUNCTION("""COMPUTED_VALUE"""),3.0)</f>
        <v>3</v>
      </c>
      <c r="T3" s="11">
        <f>IFERROR(__xludf.DUMMYFUNCTION("""COMPUTED_VALUE"""),4.5)</f>
        <v>4.5</v>
      </c>
      <c r="U3" s="11">
        <f>IFERROR(__xludf.DUMMYFUNCTION("""COMPUTED_VALUE"""),0.0)</f>
        <v>0</v>
      </c>
      <c r="V3" s="11"/>
      <c r="W3" s="11"/>
      <c r="X3" s="11"/>
      <c r="Y3" s="11"/>
      <c r="Z3" s="15"/>
      <c r="AA3" s="15" t="str">
        <f>IFERROR(__xludf.DUMMYFUNCTION("""COMPUTED_VALUE"""),"U00190844")</f>
        <v>U00190844</v>
      </c>
    </row>
    <row r="4">
      <c r="A4" s="14">
        <v>3.0</v>
      </c>
      <c r="B4" s="14" t="s">
        <v>47</v>
      </c>
      <c r="C4" s="10">
        <f>IFERROR(__xludf.DUMMYFUNCTION("""COMPUTED_VALUE"""),3.4)</f>
        <v>3.4</v>
      </c>
      <c r="D4" s="11">
        <f>IFERROR(__xludf.DUMMYFUNCTION("""COMPUTED_VALUE"""),3.9)</f>
        <v>3.9</v>
      </c>
      <c r="E4" s="10">
        <f>IFERROR(__xludf.DUMMYFUNCTION("""COMPUTED_VALUE"""),4.8)</f>
        <v>4.8</v>
      </c>
      <c r="F4" s="11">
        <f>IFERROR(__xludf.DUMMYFUNCTION("""COMPUTED_VALUE"""),4.0)</f>
        <v>4</v>
      </c>
      <c r="G4" s="1">
        <f>IFERROR(__xludf.DUMMYFUNCTION("""COMPUTED_VALUE"""),4.5)</f>
        <v>4.5</v>
      </c>
      <c r="H4" s="1">
        <f>IFERROR(__xludf.DUMMYFUNCTION("""COMPUTED_VALUE"""),5.0)</f>
        <v>5</v>
      </c>
      <c r="I4" s="1">
        <f>IFERROR(__xludf.DUMMYFUNCTION("""COMPUTED_VALUE"""),5.0)</f>
        <v>5</v>
      </c>
      <c r="J4" s="11">
        <f>IFERROR(__xludf.DUMMYFUNCTION("""COMPUTED_VALUE"""),4.5)</f>
        <v>4.5</v>
      </c>
      <c r="K4" s="11">
        <f>IFERROR(__xludf.DUMMYFUNCTION("""COMPUTED_VALUE"""),4.3)</f>
        <v>4.3</v>
      </c>
      <c r="L4" s="11">
        <f>IFERROR(__xludf.DUMMYFUNCTION("""COMPUTED_VALUE"""),5.0)</f>
        <v>5</v>
      </c>
      <c r="M4" s="11">
        <f>IFERROR(__xludf.DUMMYFUNCTION("""COMPUTED_VALUE"""),5.0)</f>
        <v>5</v>
      </c>
      <c r="N4" s="11">
        <f>IFERROR(__xludf.DUMMYFUNCTION("""COMPUTED_VALUE"""),0.5)</f>
        <v>0.5</v>
      </c>
      <c r="O4" s="11"/>
      <c r="P4" s="12">
        <f>IFERROR(__xludf.DUMMYFUNCTION("""COMPUTED_VALUE"""),4.8)</f>
        <v>4.8</v>
      </c>
      <c r="Q4" s="11"/>
      <c r="R4" s="11">
        <f>IFERROR(__xludf.DUMMYFUNCTION("""COMPUTED_VALUE"""),1.1)</f>
        <v>1.1</v>
      </c>
      <c r="S4" s="11">
        <f>IFERROR(__xludf.DUMMYFUNCTION("""COMPUTED_VALUE"""),2.5)</f>
        <v>2.5</v>
      </c>
      <c r="T4" s="11">
        <f>IFERROR(__xludf.DUMMYFUNCTION("""COMPUTED_VALUE"""),5.0)</f>
        <v>5</v>
      </c>
      <c r="U4" s="11">
        <f>IFERROR(__xludf.DUMMYFUNCTION("""COMPUTED_VALUE"""),4.5)</f>
        <v>4.5</v>
      </c>
      <c r="V4" s="11"/>
      <c r="W4" s="11"/>
      <c r="X4" s="11"/>
      <c r="Y4" s="11"/>
      <c r="Z4" s="15"/>
      <c r="AA4" s="15" t="str">
        <f>IFERROR(__xludf.DUMMYFUNCTION("""COMPUTED_VALUE"""),"U00189302")</f>
        <v>U00189302</v>
      </c>
    </row>
    <row r="5">
      <c r="A5" s="14">
        <v>4.0</v>
      </c>
      <c r="B5" s="14" t="s">
        <v>48</v>
      </c>
      <c r="C5" s="10">
        <f>IFERROR(__xludf.DUMMYFUNCTION("""COMPUTED_VALUE"""),3.2)</f>
        <v>3.2</v>
      </c>
      <c r="D5" s="11">
        <f>IFERROR(__xludf.DUMMYFUNCTION("""COMPUTED_VALUE"""),3.9)</f>
        <v>3.9</v>
      </c>
      <c r="E5" s="10">
        <f>IFERROR(__xludf.DUMMYFUNCTION("""COMPUTED_VALUE"""),4.8)</f>
        <v>4.8</v>
      </c>
      <c r="F5" s="11">
        <f>IFERROR(__xludf.DUMMYFUNCTION("""COMPUTED_VALUE"""),3.9)</f>
        <v>3.9</v>
      </c>
      <c r="G5" s="1">
        <f>IFERROR(__xludf.DUMMYFUNCTION("""COMPUTED_VALUE"""),4.5)</f>
        <v>4.5</v>
      </c>
      <c r="H5" s="1">
        <f>IFERROR(__xludf.DUMMYFUNCTION("""COMPUTED_VALUE"""),5.0)</f>
        <v>5</v>
      </c>
      <c r="I5" s="1">
        <f>IFERROR(__xludf.DUMMYFUNCTION("""COMPUTED_VALUE"""),5.0)</f>
        <v>5</v>
      </c>
      <c r="J5" s="11">
        <f>IFERROR(__xludf.DUMMYFUNCTION("""COMPUTED_VALUE"""),4.5)</f>
        <v>4.5</v>
      </c>
      <c r="K5" s="11">
        <f>IFERROR(__xludf.DUMMYFUNCTION("""COMPUTED_VALUE"""),4.8)</f>
        <v>4.8</v>
      </c>
      <c r="L5" s="11">
        <f>IFERROR(__xludf.DUMMYFUNCTION("""COMPUTED_VALUE"""),4.5)</f>
        <v>4.5</v>
      </c>
      <c r="M5" s="11">
        <f>IFERROR(__xludf.DUMMYFUNCTION("""COMPUTED_VALUE"""),5.0)</f>
        <v>5</v>
      </c>
      <c r="N5" s="11">
        <f>IFERROR(__xludf.DUMMYFUNCTION("""COMPUTED_VALUE"""),3.5)</f>
        <v>3.5</v>
      </c>
      <c r="O5" s="11"/>
      <c r="P5" s="12">
        <f>IFERROR(__xludf.DUMMYFUNCTION("""COMPUTED_VALUE"""),4.8)</f>
        <v>4.8</v>
      </c>
      <c r="Q5" s="11"/>
      <c r="R5" s="11">
        <f>IFERROR(__xludf.DUMMYFUNCTION("""COMPUTED_VALUE"""),2.0)</f>
        <v>2</v>
      </c>
      <c r="S5" s="11">
        <f>IFERROR(__xludf.DUMMYFUNCTION("""COMPUTED_VALUE"""),2.9)</f>
        <v>2.9</v>
      </c>
      <c r="T5" s="11">
        <f>IFERROR(__xludf.DUMMYFUNCTION("""COMPUTED_VALUE"""),5.0)</f>
        <v>5</v>
      </c>
      <c r="U5" s="11">
        <f>IFERROR(__xludf.DUMMYFUNCTION("""COMPUTED_VALUE"""),4.6)</f>
        <v>4.6</v>
      </c>
      <c r="V5" s="11"/>
      <c r="W5" s="11"/>
      <c r="X5" s="11"/>
      <c r="Y5" s="11"/>
      <c r="Z5" s="15"/>
      <c r="AA5" s="15" t="str">
        <f>IFERROR(__xludf.DUMMYFUNCTION("""COMPUTED_VALUE"""),"U00189715")</f>
        <v>U00189715</v>
      </c>
    </row>
    <row r="6">
      <c r="A6" s="14">
        <v>5.0</v>
      </c>
      <c r="B6" s="14" t="s">
        <v>49</v>
      </c>
      <c r="C6" s="10">
        <f>IFERROR(__xludf.DUMMYFUNCTION("""COMPUTED_VALUE"""),4.5)</f>
        <v>4.5</v>
      </c>
      <c r="D6" s="11">
        <f>IFERROR(__xludf.DUMMYFUNCTION("""COMPUTED_VALUE"""),3.5)</f>
        <v>3.5</v>
      </c>
      <c r="E6" s="10">
        <f>IFERROR(__xludf.DUMMYFUNCTION("""COMPUTED_VALUE"""),1.6)</f>
        <v>1.6</v>
      </c>
      <c r="F6" s="11">
        <f>IFERROR(__xludf.DUMMYFUNCTION("""COMPUTED_VALUE"""),3.3)</f>
        <v>3.3</v>
      </c>
      <c r="G6" s="1">
        <f>IFERROR(__xludf.DUMMYFUNCTION("""COMPUTED_VALUE"""),0.0)</f>
        <v>0</v>
      </c>
      <c r="H6" s="11">
        <f>IFERROR(__xludf.DUMMYFUNCTION("""COMPUTED_VALUE"""),0.0)</f>
        <v>0</v>
      </c>
      <c r="I6" s="11">
        <f>IFERROR(__xludf.DUMMYFUNCTION("""COMPUTED_VALUE"""),0.0)</f>
        <v>0</v>
      </c>
      <c r="J6" s="11">
        <f>IFERROR(__xludf.DUMMYFUNCTION("""COMPUTED_VALUE"""),5.0)</f>
        <v>5</v>
      </c>
      <c r="K6" s="11">
        <f>IFERROR(__xludf.DUMMYFUNCTION("""COMPUTED_VALUE"""),4.3)</f>
        <v>4.3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>
        <f>IFERROR(__xludf.DUMMYFUNCTION("""COMPUTED_VALUE"""),1.0)</f>
        <v>1</v>
      </c>
      <c r="O6" s="11"/>
      <c r="P6" s="12">
        <f>IFERROR(__xludf.DUMMYFUNCTION("""COMPUTED_VALUE"""),0.0)</f>
        <v>0</v>
      </c>
      <c r="Q6" s="11"/>
      <c r="R6" s="11">
        <f>IFERROR(__xludf.DUMMYFUNCTION("""COMPUTED_VALUE"""),0.3)</f>
        <v>0.3</v>
      </c>
      <c r="S6" s="11">
        <f>IFERROR(__xludf.DUMMYFUNCTION("""COMPUTED_VALUE"""),1.8)</f>
        <v>1.8</v>
      </c>
      <c r="T6" s="11">
        <f>IFERROR(__xludf.DUMMYFUNCTION("""COMPUTED_VALUE"""),0.0)</f>
        <v>0</v>
      </c>
      <c r="U6" s="11">
        <f>IFERROR(__xludf.DUMMYFUNCTION("""COMPUTED_VALUE"""),0.0)</f>
        <v>0</v>
      </c>
      <c r="V6" s="11"/>
      <c r="W6" s="11"/>
      <c r="X6" s="11"/>
      <c r="Y6" s="11"/>
      <c r="Z6" s="15"/>
      <c r="AA6" s="15" t="str">
        <f>IFERROR(__xludf.DUMMYFUNCTION("""COMPUTED_VALUE"""),"U00187449")</f>
        <v>U00187449</v>
      </c>
    </row>
    <row r="7">
      <c r="A7" s="14">
        <v>6.0</v>
      </c>
      <c r="B7" s="14" t="s">
        <v>50</v>
      </c>
      <c r="C7" s="10">
        <f>IFERROR(__xludf.DUMMYFUNCTION("""COMPUTED_VALUE"""),3.2)</f>
        <v>3.2</v>
      </c>
      <c r="D7" s="11">
        <f>IFERROR(__xludf.DUMMYFUNCTION("""COMPUTED_VALUE"""),3.5)</f>
        <v>3.5</v>
      </c>
      <c r="E7" s="10">
        <f>IFERROR(__xludf.DUMMYFUNCTION("""COMPUTED_VALUE"""),4.8)</f>
        <v>4.8</v>
      </c>
      <c r="F7" s="11">
        <f>IFERROR(__xludf.DUMMYFUNCTION("""COMPUTED_VALUE"""),3.8)</f>
        <v>3.8</v>
      </c>
      <c r="G7" s="1">
        <f>IFERROR(__xludf.DUMMYFUNCTION("""COMPUTED_VALUE"""),4.5)</f>
        <v>4.5</v>
      </c>
      <c r="H7" s="1">
        <f>IFERROR(__xludf.DUMMYFUNCTION("""COMPUTED_VALUE"""),0.0)</f>
        <v>0</v>
      </c>
      <c r="I7" s="1">
        <f>IFERROR(__xludf.DUMMYFUNCTION("""COMPUTED_VALUE"""),4.8)</f>
        <v>4.8</v>
      </c>
      <c r="J7" s="11">
        <f>IFERROR(__xludf.DUMMYFUNCTION("""COMPUTED_VALUE"""),5.0)</f>
        <v>5</v>
      </c>
      <c r="K7" s="11">
        <f>IFERROR(__xludf.DUMMYFUNCTION("""COMPUTED_VALUE"""),4.8)</f>
        <v>4.8</v>
      </c>
      <c r="L7" s="11">
        <f>IFERROR(__xludf.DUMMYFUNCTION("""COMPUTED_VALUE"""),4.9)</f>
        <v>4.9</v>
      </c>
      <c r="M7" s="11">
        <f>IFERROR(__xludf.DUMMYFUNCTION("""COMPUTED_VALUE"""),5.0)</f>
        <v>5</v>
      </c>
      <c r="N7" s="11">
        <f>IFERROR(__xludf.DUMMYFUNCTION("""COMPUTED_VALUE"""),2.5)</f>
        <v>2.5</v>
      </c>
      <c r="O7" s="11"/>
      <c r="P7" s="12">
        <f>IFERROR(__xludf.DUMMYFUNCTION("""COMPUTED_VALUE"""),4.9)</f>
        <v>4.9</v>
      </c>
      <c r="Q7" s="11"/>
      <c r="R7" s="11">
        <f>IFERROR(__xludf.DUMMYFUNCTION("""COMPUTED_VALUE"""),1.7)</f>
        <v>1.7</v>
      </c>
      <c r="S7" s="11">
        <f>IFERROR(__xludf.DUMMYFUNCTION("""COMPUTED_VALUE"""),2.7)</f>
        <v>2.7</v>
      </c>
      <c r="T7" s="11">
        <f>IFERROR(__xludf.DUMMYFUNCTION("""COMPUTED_VALUE"""),4.8)</f>
        <v>4.8</v>
      </c>
      <c r="U7" s="11">
        <f>IFERROR(__xludf.DUMMYFUNCTION("""COMPUTED_VALUE"""),5.0)</f>
        <v>5</v>
      </c>
      <c r="V7" s="11"/>
      <c r="W7" s="11"/>
      <c r="X7" s="11"/>
      <c r="Y7" s="11"/>
      <c r="Z7" s="15"/>
      <c r="AA7" s="15" t="str">
        <f>IFERROR(__xludf.DUMMYFUNCTION("""COMPUTED_VALUE"""),"U00190475")</f>
        <v>U00190475</v>
      </c>
    </row>
    <row r="8">
      <c r="A8" s="14">
        <v>7.0</v>
      </c>
      <c r="B8" s="14" t="s">
        <v>51</v>
      </c>
      <c r="C8" s="10">
        <f>IFERROR(__xludf.DUMMYFUNCTION("""COMPUTED_VALUE"""),4.2)</f>
        <v>4.2</v>
      </c>
      <c r="D8" s="11">
        <f>IFERROR(__xludf.DUMMYFUNCTION("""COMPUTED_VALUE"""),5.0)</f>
        <v>5</v>
      </c>
      <c r="E8" s="10">
        <f>IFERROR(__xludf.DUMMYFUNCTION("""COMPUTED_VALUE"""),4.7)</f>
        <v>4.7</v>
      </c>
      <c r="F8" s="11">
        <f>IFERROR(__xludf.DUMMYFUNCTION("""COMPUTED_VALUE"""),4.6)</f>
        <v>4.6</v>
      </c>
      <c r="G8" s="1">
        <f>IFERROR(__xludf.DUMMYFUNCTION("""COMPUTED_VALUE"""),4.8)</f>
        <v>4.8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1">
        <f>IFERROR(__xludf.DUMMYFUNCTION("""COMPUTED_VALUE"""),4.3)</f>
        <v>4.3</v>
      </c>
      <c r="K8" s="11">
        <f>IFERROR(__xludf.DUMMYFUNCTION("""COMPUTED_VALUE"""),4.5)</f>
        <v>4.5</v>
      </c>
      <c r="L8" s="11">
        <f>IFERROR(__xludf.DUMMYFUNCTION("""COMPUTED_VALUE"""),4.7)</f>
        <v>4.7</v>
      </c>
      <c r="M8" s="11">
        <f>IFERROR(__xludf.DUMMYFUNCTION("""COMPUTED_VALUE"""),5.0)</f>
        <v>5</v>
      </c>
      <c r="N8" s="11">
        <f>IFERROR(__xludf.DUMMYFUNCTION("""COMPUTED_VALUE"""),4.0)</f>
        <v>4</v>
      </c>
      <c r="O8" s="11"/>
      <c r="P8" s="12">
        <f>IFERROR(__xludf.DUMMYFUNCTION("""COMPUTED_VALUE"""),4.7)</f>
        <v>4.7</v>
      </c>
      <c r="Q8" s="11"/>
      <c r="R8" s="11">
        <f>IFERROR(__xludf.DUMMYFUNCTION("""COMPUTED_VALUE"""),2.1)</f>
        <v>2.1</v>
      </c>
      <c r="S8" s="11">
        <f>IFERROR(__xludf.DUMMYFUNCTION("""COMPUTED_VALUE"""),3.3)</f>
        <v>3.3</v>
      </c>
      <c r="T8" s="11">
        <f>IFERROR(__xludf.DUMMYFUNCTION("""COMPUTED_VALUE"""),4.8)</f>
        <v>4.8</v>
      </c>
      <c r="U8" s="11">
        <f>IFERROR(__xludf.DUMMYFUNCTION("""COMPUTED_VALUE"""),4.6)</f>
        <v>4.6</v>
      </c>
      <c r="V8" s="11"/>
      <c r="W8" s="11"/>
      <c r="X8" s="11"/>
      <c r="Y8" s="11"/>
      <c r="Z8" s="15"/>
      <c r="AA8" s="15" t="str">
        <f>IFERROR(__xludf.DUMMYFUNCTION("""COMPUTED_VALUE"""),"U00190980")</f>
        <v>U00190980</v>
      </c>
    </row>
    <row r="9">
      <c r="A9" s="14">
        <v>8.0</v>
      </c>
      <c r="B9" s="14" t="s">
        <v>52</v>
      </c>
      <c r="C9" s="10">
        <f>IFERROR(__xludf.DUMMYFUNCTION("""COMPUTED_VALUE"""),5.0)</f>
        <v>5</v>
      </c>
      <c r="D9" s="11">
        <f>IFERROR(__xludf.DUMMYFUNCTION("""COMPUTED_VALUE"""),5.0)</f>
        <v>5</v>
      </c>
      <c r="E9" s="10">
        <f>IFERROR(__xludf.DUMMYFUNCTION("""COMPUTED_VALUE"""),4.9)</f>
        <v>4.9</v>
      </c>
      <c r="F9" s="11">
        <f>IFERROR(__xludf.DUMMYFUNCTION("""COMPUTED_VALUE"""),5.0)</f>
        <v>5</v>
      </c>
      <c r="G9" s="1">
        <f>IFERROR(__xludf.DUMMYFUNCTION("""COMPUTED_VALUE"""),4.8)</f>
        <v>4.8</v>
      </c>
      <c r="H9" s="1">
        <f>IFERROR(__xludf.DUMMYFUNCTION("""COMPUTED_VALUE"""),5.0)</f>
        <v>5</v>
      </c>
      <c r="I9" s="1">
        <f>IFERROR(__xludf.DUMMYFUNCTION("""COMPUTED_VALUE"""),4.8)</f>
        <v>4.8</v>
      </c>
      <c r="J9" s="11">
        <f>IFERROR(__xludf.DUMMYFUNCTION("""COMPUTED_VALUE"""),4.8)</f>
        <v>4.8</v>
      </c>
      <c r="K9" s="11">
        <f>IFERROR(__xludf.DUMMYFUNCTION("""COMPUTED_VALUE"""),5.0)</f>
        <v>5</v>
      </c>
      <c r="L9" s="11">
        <f>IFERROR(__xludf.DUMMYFUNCTION("""COMPUTED_VALUE"""),5.0)</f>
        <v>5</v>
      </c>
      <c r="M9" s="11">
        <f>IFERROR(__xludf.DUMMYFUNCTION("""COMPUTED_VALUE"""),5.0)</f>
        <v>5</v>
      </c>
      <c r="N9" s="11">
        <f>IFERROR(__xludf.DUMMYFUNCTION("""COMPUTED_VALUE"""),5.0)</f>
        <v>5</v>
      </c>
      <c r="O9" s="11"/>
      <c r="P9" s="12">
        <f>IFERROR(__xludf.DUMMYFUNCTION("""COMPUTED_VALUE"""),5.0)</f>
        <v>5</v>
      </c>
      <c r="Q9" s="11"/>
      <c r="R9" s="11">
        <f>IFERROR(__xludf.DUMMYFUNCTION("""COMPUTED_VALUE"""),2.5)</f>
        <v>2.5</v>
      </c>
      <c r="S9" s="11">
        <f>IFERROR(__xludf.DUMMYFUNCTION("""COMPUTED_VALUE"""),3.7)</f>
        <v>3.7</v>
      </c>
      <c r="T9" s="11">
        <f>IFERROR(__xludf.DUMMYFUNCTION("""COMPUTED_VALUE"""),5.0)</f>
        <v>5</v>
      </c>
      <c r="U9" s="11">
        <f>IFERROR(__xludf.DUMMYFUNCTION("""COMPUTED_VALUE"""),5.0)</f>
        <v>5</v>
      </c>
      <c r="V9" s="11"/>
      <c r="W9" s="11"/>
      <c r="X9" s="11"/>
      <c r="Y9" s="11"/>
      <c r="Z9" s="15"/>
      <c r="AA9" s="15" t="str">
        <f>IFERROR(__xludf.DUMMYFUNCTION("""COMPUTED_VALUE"""),"U00188393")</f>
        <v>U00188393</v>
      </c>
    </row>
    <row r="10">
      <c r="A10" s="14">
        <v>9.0</v>
      </c>
      <c r="B10" s="14" t="s">
        <v>53</v>
      </c>
      <c r="C10" s="10">
        <f>IFERROR(__xludf.DUMMYFUNCTION("""COMPUTED_VALUE"""),5.0)</f>
        <v>5</v>
      </c>
      <c r="D10" s="11">
        <f>IFERROR(__xludf.DUMMYFUNCTION("""COMPUTED_VALUE"""),3.4)</f>
        <v>3.4</v>
      </c>
      <c r="E10" s="10">
        <f>IFERROR(__xludf.DUMMYFUNCTION("""COMPUTED_VALUE"""),4.6)</f>
        <v>4.6</v>
      </c>
      <c r="F10" s="11">
        <f>IFERROR(__xludf.DUMMYFUNCTION("""COMPUTED_VALUE"""),4.3)</f>
        <v>4.3</v>
      </c>
      <c r="G10" s="1">
        <f>IFERROR(__xludf.DUMMYFUNCTION("""COMPUTED_VALUE"""),4.7)</f>
        <v>4.7</v>
      </c>
      <c r="H10" s="1">
        <f>IFERROR(__xludf.DUMMYFUNCTION("""COMPUTED_VALUE"""),2.3)</f>
        <v>2.3</v>
      </c>
      <c r="I10" s="1">
        <f>IFERROR(__xludf.DUMMYFUNCTION("""COMPUTED_VALUE"""),4.5)</f>
        <v>4.5</v>
      </c>
      <c r="J10" s="11">
        <f>IFERROR(__xludf.DUMMYFUNCTION("""COMPUTED_VALUE"""),4.8)</f>
        <v>4.8</v>
      </c>
      <c r="K10" s="11">
        <f>IFERROR(__xludf.DUMMYFUNCTION("""COMPUTED_VALUE"""),4.5)</f>
        <v>4.5</v>
      </c>
      <c r="L10" s="11">
        <f>IFERROR(__xludf.DUMMYFUNCTION("""COMPUTED_VALUE"""),4.0)</f>
        <v>4</v>
      </c>
      <c r="M10" s="11">
        <f>IFERROR(__xludf.DUMMYFUNCTION("""COMPUTED_VALUE"""),5.0)</f>
        <v>5</v>
      </c>
      <c r="N10" s="11">
        <f>IFERROR(__xludf.DUMMYFUNCTION("""COMPUTED_VALUE"""),3.2)</f>
        <v>3.2</v>
      </c>
      <c r="O10" s="11"/>
      <c r="P10" s="12">
        <f>IFERROR(__xludf.DUMMYFUNCTION("""COMPUTED_VALUE"""),4.8)</f>
        <v>4.8</v>
      </c>
      <c r="Q10" s="11"/>
      <c r="R10" s="11">
        <f>IFERROR(__xludf.DUMMYFUNCTION("""COMPUTED_VALUE"""),1.9)</f>
        <v>1.9</v>
      </c>
      <c r="S10" s="11">
        <f>IFERROR(__xludf.DUMMYFUNCTION("""COMPUTED_VALUE"""),3.1)</f>
        <v>3.1</v>
      </c>
      <c r="T10" s="11">
        <f>IFERROR(__xludf.DUMMYFUNCTION("""COMPUTED_VALUE"""),5.0)</f>
        <v>5</v>
      </c>
      <c r="U10" s="11">
        <f>IFERROR(__xludf.DUMMYFUNCTION("""COMPUTED_VALUE"""),4.5)</f>
        <v>4.5</v>
      </c>
      <c r="V10" s="11"/>
      <c r="W10" s="11"/>
      <c r="X10" s="11"/>
      <c r="Y10" s="11"/>
      <c r="Z10" s="15"/>
      <c r="AA10" s="15" t="str">
        <f>IFERROR(__xludf.DUMMYFUNCTION("""COMPUTED_VALUE"""),"U00190951")</f>
        <v>U00190951</v>
      </c>
    </row>
    <row r="11">
      <c r="A11" s="14">
        <v>10.0</v>
      </c>
      <c r="B11" s="14" t="s">
        <v>54</v>
      </c>
      <c r="C11" s="10">
        <f>IFERROR(__xludf.DUMMYFUNCTION("""COMPUTED_VALUE"""),3.3)</f>
        <v>3.3</v>
      </c>
      <c r="D11" s="11">
        <f>IFERROR(__xludf.DUMMYFUNCTION("""COMPUTED_VALUE"""),3.9)</f>
        <v>3.9</v>
      </c>
      <c r="E11" s="10">
        <f>IFERROR(__xludf.DUMMYFUNCTION("""COMPUTED_VALUE"""),4.5)</f>
        <v>4.5</v>
      </c>
      <c r="F11" s="11">
        <f>IFERROR(__xludf.DUMMYFUNCTION("""COMPUTED_VALUE"""),3.9)</f>
        <v>3.9</v>
      </c>
      <c r="G11" s="1">
        <f>IFERROR(__xludf.DUMMYFUNCTION("""COMPUTED_VALUE"""),3.8)</f>
        <v>3.8</v>
      </c>
      <c r="H11" s="1">
        <f>IFERROR(__xludf.DUMMYFUNCTION("""COMPUTED_VALUE"""),4.3)</f>
        <v>4.3</v>
      </c>
      <c r="I11" s="1">
        <f>IFERROR(__xludf.DUMMYFUNCTION("""COMPUTED_VALUE"""),3.8)</f>
        <v>3.8</v>
      </c>
      <c r="J11" s="11">
        <f>IFERROR(__xludf.DUMMYFUNCTION("""COMPUTED_VALUE"""),4.8)</f>
        <v>4.8</v>
      </c>
      <c r="K11" s="11">
        <f>IFERROR(__xludf.DUMMYFUNCTION("""COMPUTED_VALUE"""),4.5)</f>
        <v>4.5</v>
      </c>
      <c r="L11" s="11">
        <f>IFERROR(__xludf.DUMMYFUNCTION("""COMPUTED_VALUE"""),4.6)</f>
        <v>4.6</v>
      </c>
      <c r="M11" s="11">
        <f>IFERROR(__xludf.DUMMYFUNCTION("""COMPUTED_VALUE"""),5.0)</f>
        <v>5</v>
      </c>
      <c r="N11" s="11">
        <f>IFERROR(__xludf.DUMMYFUNCTION("""COMPUTED_VALUE"""),2.3)</f>
        <v>2.3</v>
      </c>
      <c r="O11" s="11"/>
      <c r="P11" s="12">
        <f>IFERROR(__xludf.DUMMYFUNCTION("""COMPUTED_VALUE"""),5.0)</f>
        <v>5</v>
      </c>
      <c r="Q11" s="11"/>
      <c r="R11" s="11">
        <f>IFERROR(__xludf.DUMMYFUNCTION("""COMPUTED_VALUE"""),1.7)</f>
        <v>1.7</v>
      </c>
      <c r="S11" s="11">
        <f>IFERROR(__xludf.DUMMYFUNCTION("""COMPUTED_VALUE"""),2.8)</f>
        <v>2.8</v>
      </c>
      <c r="T11" s="11">
        <f>IFERROR(__xludf.DUMMYFUNCTION("""COMPUTED_VALUE"""),5.0)</f>
        <v>5</v>
      </c>
      <c r="U11" s="11">
        <f>IFERROR(__xludf.DUMMYFUNCTION("""COMPUTED_VALUE"""),4.9)</f>
        <v>4.9</v>
      </c>
      <c r="V11" s="11"/>
      <c r="W11" s="11"/>
      <c r="X11" s="11"/>
      <c r="Y11" s="11"/>
      <c r="Z11" s="15"/>
      <c r="AA11" s="15" t="str">
        <f>IFERROR(__xludf.DUMMYFUNCTION("""COMPUTED_VALUE"""),"U00190971")</f>
        <v>U00190971</v>
      </c>
    </row>
    <row r="12">
      <c r="A12" s="14">
        <v>11.0</v>
      </c>
      <c r="B12" s="14" t="s">
        <v>55</v>
      </c>
      <c r="C12" s="10">
        <f>IFERROR(__xludf.DUMMYFUNCTION("""COMPUTED_VALUE"""),4.5)</f>
        <v>4.5</v>
      </c>
      <c r="D12" s="11">
        <f>IFERROR(__xludf.DUMMYFUNCTION("""COMPUTED_VALUE"""),2.7)</f>
        <v>2.7</v>
      </c>
      <c r="E12" s="10">
        <f>IFERROR(__xludf.DUMMYFUNCTION("""COMPUTED_VALUE"""),3.8)</f>
        <v>3.8</v>
      </c>
      <c r="F12" s="11">
        <f>IFERROR(__xludf.DUMMYFUNCTION("""COMPUTED_VALUE"""),3.7)</f>
        <v>3.7</v>
      </c>
      <c r="G12" s="1">
        <f>IFERROR(__xludf.DUMMYFUNCTION("""COMPUTED_VALUE"""),4.5)</f>
        <v>4.5</v>
      </c>
      <c r="H12" s="1">
        <f>IFERROR(__xludf.DUMMYFUNCTION("""COMPUTED_VALUE"""),4.4)</f>
        <v>4.4</v>
      </c>
      <c r="I12" s="1">
        <f>IFERROR(__xludf.DUMMYFUNCTION("""COMPUTED_VALUE"""),0.0)</f>
        <v>0</v>
      </c>
      <c r="J12" s="11">
        <f>IFERROR(__xludf.DUMMYFUNCTION("""COMPUTED_VALUE"""),5.0)</f>
        <v>5</v>
      </c>
      <c r="K12" s="11">
        <f>IFERROR(__xludf.DUMMYFUNCTION("""COMPUTED_VALUE"""),4.0)</f>
        <v>4</v>
      </c>
      <c r="L12" s="11">
        <f>IFERROR(__xludf.DUMMYFUNCTION("""COMPUTED_VALUE"""),4.8)</f>
        <v>4.8</v>
      </c>
      <c r="M12" s="11">
        <f>IFERROR(__xludf.DUMMYFUNCTION("""COMPUTED_VALUE"""),0.0)</f>
        <v>0</v>
      </c>
      <c r="N12" s="11">
        <f>IFERROR(__xludf.DUMMYFUNCTION("""COMPUTED_VALUE"""),3.5)</f>
        <v>3.5</v>
      </c>
      <c r="O12" s="11"/>
      <c r="P12" s="12">
        <f>IFERROR(__xludf.DUMMYFUNCTION("""COMPUTED_VALUE"""),4.3)</f>
        <v>4.3</v>
      </c>
      <c r="Q12" s="11"/>
      <c r="R12" s="11">
        <f>IFERROR(__xludf.DUMMYFUNCTION("""COMPUTED_VALUE"""),1.9)</f>
        <v>1.9</v>
      </c>
      <c r="S12" s="11">
        <f>IFERROR(__xludf.DUMMYFUNCTION("""COMPUTED_VALUE"""),2.8)</f>
        <v>2.8</v>
      </c>
      <c r="T12" s="11">
        <f>IFERROR(__xludf.DUMMYFUNCTION("""COMPUTED_VALUE"""),4.3)</f>
        <v>4.3</v>
      </c>
      <c r="U12" s="11">
        <f>IFERROR(__xludf.DUMMYFUNCTION("""COMPUTED_VALUE"""),4.3)</f>
        <v>4.3</v>
      </c>
      <c r="V12" s="11"/>
      <c r="W12" s="11"/>
      <c r="X12" s="11"/>
      <c r="Y12" s="11"/>
      <c r="Z12" s="15"/>
      <c r="AA12" s="15" t="str">
        <f>IFERROR(__xludf.DUMMYFUNCTION("""COMPUTED_VALUE"""),"U00190952")</f>
        <v>U00190952</v>
      </c>
    </row>
    <row r="13">
      <c r="A13" s="14">
        <v>12.0</v>
      </c>
      <c r="B13" s="14" t="s">
        <v>56</v>
      </c>
      <c r="C13" s="10">
        <f>IFERROR(__xludf.DUMMYFUNCTION("""COMPUTED_VALUE"""),4.1)</f>
        <v>4.1</v>
      </c>
      <c r="D13" s="11">
        <f>IFERROR(__xludf.DUMMYFUNCTION("""COMPUTED_VALUE"""),4.2)</f>
        <v>4.2</v>
      </c>
      <c r="E13" s="10">
        <f>IFERROR(__xludf.DUMMYFUNCTION("""COMPUTED_VALUE"""),3.8)</f>
        <v>3.8</v>
      </c>
      <c r="F13" s="11">
        <f>IFERROR(__xludf.DUMMYFUNCTION("""COMPUTED_VALUE"""),4.0)</f>
        <v>4</v>
      </c>
      <c r="G13" s="1">
        <f>IFERROR(__xludf.DUMMYFUNCTION("""COMPUTED_VALUE"""),4.8)</f>
        <v>4.8</v>
      </c>
      <c r="H13" s="1">
        <f>IFERROR(__xludf.DUMMYFUNCTION("""COMPUTED_VALUE"""),4.0)</f>
        <v>4</v>
      </c>
      <c r="I13" s="1">
        <f>IFERROR(__xludf.DUMMYFUNCTION("""COMPUTED_VALUE"""),0.0)</f>
        <v>0</v>
      </c>
      <c r="J13" s="11">
        <f>IFERROR(__xludf.DUMMYFUNCTION("""COMPUTED_VALUE"""),4.8)</f>
        <v>4.8</v>
      </c>
      <c r="K13" s="11">
        <f>IFERROR(__xludf.DUMMYFUNCTION("""COMPUTED_VALUE"""),4.5)</f>
        <v>4.5</v>
      </c>
      <c r="L13" s="11">
        <f>IFERROR(__xludf.DUMMYFUNCTION("""COMPUTED_VALUE"""),0.0)</f>
        <v>0</v>
      </c>
      <c r="M13" s="11">
        <f>IFERROR(__xludf.DUMMYFUNCTION("""COMPUTED_VALUE"""),4.5)</f>
        <v>4.5</v>
      </c>
      <c r="N13" s="11">
        <f>IFERROR(__xludf.DUMMYFUNCTION("""COMPUTED_VALUE"""),3.5)</f>
        <v>3.5</v>
      </c>
      <c r="O13" s="11"/>
      <c r="P13" s="12">
        <f>IFERROR(__xludf.DUMMYFUNCTION("""COMPUTED_VALUE"""),4.6)</f>
        <v>4.6</v>
      </c>
      <c r="Q13" s="11"/>
      <c r="R13" s="11">
        <f>IFERROR(__xludf.DUMMYFUNCTION("""COMPUTED_VALUE"""),2.0)</f>
        <v>2</v>
      </c>
      <c r="S13" s="11">
        <f>IFERROR(__xludf.DUMMYFUNCTION("""COMPUTED_VALUE"""),3.0)</f>
        <v>3</v>
      </c>
      <c r="T13" s="11">
        <f>IFERROR(__xludf.DUMMYFUNCTION("""COMPUTED_VALUE"""),5.0)</f>
        <v>5</v>
      </c>
      <c r="U13" s="11">
        <f>IFERROR(__xludf.DUMMYFUNCTION("""COMPUTED_VALUE"""),4.1)</f>
        <v>4.1</v>
      </c>
      <c r="V13" s="11"/>
      <c r="W13" s="11"/>
      <c r="X13" s="11"/>
      <c r="Y13" s="11"/>
      <c r="Z13" s="15"/>
      <c r="AA13" s="15" t="str">
        <f>IFERROR(__xludf.DUMMYFUNCTION("""COMPUTED_VALUE"""),"U00189506")</f>
        <v>U00189506</v>
      </c>
    </row>
    <row r="14">
      <c r="A14" s="14">
        <v>13.0</v>
      </c>
      <c r="B14" s="14" t="s">
        <v>57</v>
      </c>
      <c r="C14" s="10">
        <f>IFERROR(__xludf.DUMMYFUNCTION("""COMPUTED_VALUE"""),2.4)</f>
        <v>2.4</v>
      </c>
      <c r="D14" s="11">
        <f>IFERROR(__xludf.DUMMYFUNCTION("""COMPUTED_VALUE"""),0.2)</f>
        <v>0.2</v>
      </c>
      <c r="E14" s="10">
        <f>IFERROR(__xludf.DUMMYFUNCTION("""COMPUTED_VALUE"""),0.8)</f>
        <v>0.8</v>
      </c>
      <c r="F14" s="11">
        <f>IFERROR(__xludf.DUMMYFUNCTION("""COMPUTED_VALUE"""),1.2)</f>
        <v>1.2</v>
      </c>
      <c r="G14" s="1">
        <f>IFERROR(__xludf.DUMMYFUNCTION("""COMPUTED_VALUE"""),0.0)</f>
        <v>0</v>
      </c>
      <c r="H14" s="1">
        <f>IFERROR(__xludf.DUMMYFUNCTION("""COMPUTED_VALUE"""),0.0)</f>
        <v>0</v>
      </c>
      <c r="I14" s="1">
        <f>IFERROR(__xludf.DUMMYFUNCTION("""COMPUTED_VALUE"""),0.0)</f>
        <v>0</v>
      </c>
      <c r="J14" s="11">
        <f>IFERROR(__xludf.DUMMYFUNCTION("""COMPUTED_VALUE"""),0.0)</f>
        <v>0</v>
      </c>
      <c r="K14" s="11">
        <f>IFERROR(__xludf.DUMMYFUNCTION("""COMPUTED_VALUE"""),0.0)</f>
        <v>0</v>
      </c>
      <c r="L14" s="11">
        <f>IFERROR(__xludf.DUMMYFUNCTION("""COMPUTED_VALUE"""),0.0)</f>
        <v>0</v>
      </c>
      <c r="M14" s="11">
        <f>IFERROR(__xludf.DUMMYFUNCTION("""COMPUTED_VALUE"""),4.6)</f>
        <v>4.6</v>
      </c>
      <c r="N14" s="11">
        <f>IFERROR(__xludf.DUMMYFUNCTION("""COMPUTED_VALUE"""),0.0)</f>
        <v>0</v>
      </c>
      <c r="O14" s="11"/>
      <c r="P14" s="12">
        <f>IFERROR(__xludf.DUMMYFUNCTION("""COMPUTED_VALUE"""),0.0)</f>
        <v>0</v>
      </c>
      <c r="Q14" s="11"/>
      <c r="R14" s="11">
        <f>IFERROR(__xludf.DUMMYFUNCTION("""COMPUTED_VALUE"""),0.0)</f>
        <v>0</v>
      </c>
      <c r="S14" s="11">
        <f>IFERROR(__xludf.DUMMYFUNCTION("""COMPUTED_VALUE"""),0.6)</f>
        <v>0.6</v>
      </c>
      <c r="T14" s="11">
        <f>IFERROR(__xludf.DUMMYFUNCTION("""COMPUTED_VALUE"""),0.0)</f>
        <v>0</v>
      </c>
      <c r="U14" s="11">
        <f>IFERROR(__xludf.DUMMYFUNCTION("""COMPUTED_VALUE"""),0.0)</f>
        <v>0</v>
      </c>
      <c r="V14" s="11"/>
      <c r="W14" s="11"/>
      <c r="X14" s="11"/>
      <c r="Y14" s="11"/>
      <c r="Z14" s="15"/>
      <c r="AA14" s="15" t="str">
        <f>IFERROR(__xludf.DUMMYFUNCTION("""COMPUTED_VALUE"""),"U00190855")</f>
        <v>U00190855</v>
      </c>
    </row>
    <row r="15">
      <c r="A15" s="14">
        <v>14.0</v>
      </c>
      <c r="B15" s="14" t="s">
        <v>58</v>
      </c>
      <c r="C15" s="10">
        <f>IFERROR(__xludf.DUMMYFUNCTION("""COMPUTED_VALUE"""),3.3)</f>
        <v>3.3</v>
      </c>
      <c r="D15" s="11">
        <f>IFERROR(__xludf.DUMMYFUNCTION("""COMPUTED_VALUE"""),3.4)</f>
        <v>3.4</v>
      </c>
      <c r="E15" s="10">
        <f>IFERROR(__xludf.DUMMYFUNCTION("""COMPUTED_VALUE"""),4.8)</f>
        <v>4.8</v>
      </c>
      <c r="F15" s="11">
        <f>IFERROR(__xludf.DUMMYFUNCTION("""COMPUTED_VALUE"""),3.8)</f>
        <v>3.8</v>
      </c>
      <c r="G15" s="1">
        <f>IFERROR(__xludf.DUMMYFUNCTION("""COMPUTED_VALUE"""),4.5)</f>
        <v>4.5</v>
      </c>
      <c r="H15" s="1">
        <f>IFERROR(__xludf.DUMMYFUNCTION("""COMPUTED_VALUE"""),4.5)</f>
        <v>4.5</v>
      </c>
      <c r="I15" s="1">
        <f>IFERROR(__xludf.DUMMYFUNCTION("""COMPUTED_VALUE"""),5.0)</f>
        <v>5</v>
      </c>
      <c r="J15" s="11">
        <f>IFERROR(__xludf.DUMMYFUNCTION("""COMPUTED_VALUE"""),4.8)</f>
        <v>4.8</v>
      </c>
      <c r="K15" s="11">
        <f>IFERROR(__xludf.DUMMYFUNCTION("""COMPUTED_VALUE"""),4.8)</f>
        <v>4.8</v>
      </c>
      <c r="L15" s="11">
        <f>IFERROR(__xludf.DUMMYFUNCTION("""COMPUTED_VALUE"""),4.6)</f>
        <v>4.6</v>
      </c>
      <c r="M15" s="11">
        <f>IFERROR(__xludf.DUMMYFUNCTION("""COMPUTED_VALUE"""),5.0)</f>
        <v>5</v>
      </c>
      <c r="N15" s="11">
        <f>IFERROR(__xludf.DUMMYFUNCTION("""COMPUTED_VALUE"""),4.7)</f>
        <v>4.7</v>
      </c>
      <c r="O15" s="11"/>
      <c r="P15" s="12">
        <f>IFERROR(__xludf.DUMMYFUNCTION("""COMPUTED_VALUE"""),4.8)</f>
        <v>4.8</v>
      </c>
      <c r="Q15" s="11"/>
      <c r="R15" s="11">
        <f>IFERROR(__xludf.DUMMYFUNCTION("""COMPUTED_VALUE"""),2.4)</f>
        <v>2.4</v>
      </c>
      <c r="S15" s="11">
        <f>IFERROR(__xludf.DUMMYFUNCTION("""COMPUTED_VALUE"""),3.1)</f>
        <v>3.1</v>
      </c>
      <c r="T15" s="11">
        <f>IFERROR(__xludf.DUMMYFUNCTION("""COMPUTED_VALUE"""),4.5)</f>
        <v>4.5</v>
      </c>
      <c r="U15" s="11">
        <f>IFERROR(__xludf.DUMMYFUNCTION("""COMPUTED_VALUE"""),5.0)</f>
        <v>5</v>
      </c>
      <c r="V15" s="11"/>
      <c r="W15" s="11"/>
      <c r="X15" s="11"/>
      <c r="Y15" s="11"/>
      <c r="Z15" s="15"/>
      <c r="AA15" s="15" t="str">
        <f>IFERROR(__xludf.DUMMYFUNCTION("""COMPUTED_VALUE"""),"U00188572")</f>
        <v>U00188572</v>
      </c>
    </row>
    <row r="16">
      <c r="A16" s="14">
        <v>15.0</v>
      </c>
      <c r="B16" s="14" t="s">
        <v>59</v>
      </c>
      <c r="C16" s="10">
        <f>IFERROR(__xludf.DUMMYFUNCTION("""COMPUTED_VALUE"""),3.7)</f>
        <v>3.7</v>
      </c>
      <c r="D16" s="11">
        <f>IFERROR(__xludf.DUMMYFUNCTION("""COMPUTED_VALUE"""),4.2)</f>
        <v>4.2</v>
      </c>
      <c r="E16" s="10">
        <f>IFERROR(__xludf.DUMMYFUNCTION("""COMPUTED_VALUE"""),3.7)</f>
        <v>3.7</v>
      </c>
      <c r="F16" s="11">
        <f>IFERROR(__xludf.DUMMYFUNCTION("""COMPUTED_VALUE"""),3.9)</f>
        <v>3.9</v>
      </c>
      <c r="G16" s="1">
        <f>IFERROR(__xludf.DUMMYFUNCTION("""COMPUTED_VALUE"""),3.6)</f>
        <v>3.6</v>
      </c>
      <c r="H16" s="1">
        <f>IFERROR(__xludf.DUMMYFUNCTION("""COMPUTED_VALUE"""),3.1)</f>
        <v>3.1</v>
      </c>
      <c r="I16" s="1">
        <f>IFERROR(__xludf.DUMMYFUNCTION("""COMPUTED_VALUE"""),4.0)</f>
        <v>4</v>
      </c>
      <c r="J16" s="11">
        <f>IFERROR(__xludf.DUMMYFUNCTION("""COMPUTED_VALUE"""),2.3)</f>
        <v>2.3</v>
      </c>
      <c r="K16" s="11">
        <f>IFERROR(__xludf.DUMMYFUNCTION("""COMPUTED_VALUE"""),3.0)</f>
        <v>3</v>
      </c>
      <c r="L16" s="11">
        <f>IFERROR(__xludf.DUMMYFUNCTION("""COMPUTED_VALUE"""),4.5)</f>
        <v>4.5</v>
      </c>
      <c r="M16" s="11">
        <f>IFERROR(__xludf.DUMMYFUNCTION("""COMPUTED_VALUE"""),4.0)</f>
        <v>4</v>
      </c>
      <c r="N16" s="11">
        <f>IFERROR(__xludf.DUMMYFUNCTION("""COMPUTED_VALUE"""),3.0)</f>
        <v>3</v>
      </c>
      <c r="O16" s="11"/>
      <c r="P16" s="12">
        <f>IFERROR(__xludf.DUMMYFUNCTION("""COMPUTED_VALUE"""),4.7)</f>
        <v>4.7</v>
      </c>
      <c r="Q16" s="11"/>
      <c r="R16" s="11">
        <f>IFERROR(__xludf.DUMMYFUNCTION("""COMPUTED_VALUE"""),1.8)</f>
        <v>1.8</v>
      </c>
      <c r="S16" s="11">
        <f>IFERROR(__xludf.DUMMYFUNCTION("""COMPUTED_VALUE"""),2.8)</f>
        <v>2.8</v>
      </c>
      <c r="T16" s="11">
        <f>IFERROR(__xludf.DUMMYFUNCTION("""COMPUTED_VALUE"""),4.8)</f>
        <v>4.8</v>
      </c>
      <c r="U16" s="11">
        <f>IFERROR(__xludf.DUMMYFUNCTION("""COMPUTED_VALUE"""),4.5)</f>
        <v>4.5</v>
      </c>
      <c r="V16" s="11"/>
      <c r="W16" s="11"/>
      <c r="X16" s="11"/>
      <c r="Y16" s="11"/>
      <c r="Z16" s="15"/>
      <c r="AA16" s="15" t="str">
        <f>IFERROR(__xludf.DUMMYFUNCTION("""COMPUTED_VALUE"""),"U00190921")</f>
        <v>U00190921</v>
      </c>
    </row>
    <row r="17">
      <c r="A17" s="14">
        <v>16.0</v>
      </c>
      <c r="B17" s="14" t="s">
        <v>60</v>
      </c>
      <c r="C17" s="10">
        <f>IFERROR(__xludf.DUMMYFUNCTION("""COMPUTED_VALUE"""),4.9)</f>
        <v>4.9</v>
      </c>
      <c r="D17" s="11">
        <f>IFERROR(__xludf.DUMMYFUNCTION("""COMPUTED_VALUE"""),3.2)</f>
        <v>3.2</v>
      </c>
      <c r="E17" s="10">
        <f>IFERROR(__xludf.DUMMYFUNCTION("""COMPUTED_VALUE"""),3.9)</f>
        <v>3.9</v>
      </c>
      <c r="F17" s="11">
        <f>IFERROR(__xludf.DUMMYFUNCTION("""COMPUTED_VALUE"""),4.0)</f>
        <v>4</v>
      </c>
      <c r="G17" s="1">
        <f>IFERROR(__xludf.DUMMYFUNCTION("""COMPUTED_VALUE"""),4.5)</f>
        <v>4.5</v>
      </c>
      <c r="H17" s="1">
        <f>IFERROR(__xludf.DUMMYFUNCTION("""COMPUTED_VALUE"""),5.0)</f>
        <v>5</v>
      </c>
      <c r="I17" s="1">
        <f>IFERROR(__xludf.DUMMYFUNCTION("""COMPUTED_VALUE"""),4.6)</f>
        <v>4.6</v>
      </c>
      <c r="J17" s="11">
        <f>IFERROR(__xludf.DUMMYFUNCTION("""COMPUTED_VALUE"""),4.5)</f>
        <v>4.5</v>
      </c>
      <c r="K17" s="11">
        <f>IFERROR(__xludf.DUMMYFUNCTION("""COMPUTED_VALUE"""),0.0)</f>
        <v>0</v>
      </c>
      <c r="L17" s="11">
        <f>IFERROR(__xludf.DUMMYFUNCTION("""COMPUTED_VALUE"""),0.0)</f>
        <v>0</v>
      </c>
      <c r="M17" s="11">
        <f>IFERROR(__xludf.DUMMYFUNCTION("""COMPUTED_VALUE"""),4.5)</f>
        <v>4.5</v>
      </c>
      <c r="N17" s="11">
        <f>IFERROR(__xludf.DUMMYFUNCTION("""COMPUTED_VALUE"""),4.8)</f>
        <v>4.8</v>
      </c>
      <c r="O17" s="11"/>
      <c r="P17" s="12">
        <f>IFERROR(__xludf.DUMMYFUNCTION("""COMPUTED_VALUE"""),4.4)</f>
        <v>4.4</v>
      </c>
      <c r="Q17" s="11"/>
      <c r="R17" s="11">
        <f>IFERROR(__xludf.DUMMYFUNCTION("""COMPUTED_VALUE"""),2.3)</f>
        <v>2.3</v>
      </c>
      <c r="S17" s="11">
        <f>IFERROR(__xludf.DUMMYFUNCTION("""COMPUTED_VALUE"""),3.1)</f>
        <v>3.1</v>
      </c>
      <c r="T17" s="11">
        <f>IFERROR(__xludf.DUMMYFUNCTION("""COMPUTED_VALUE"""),4.0)</f>
        <v>4</v>
      </c>
      <c r="U17" s="11">
        <f>IFERROR(__xludf.DUMMYFUNCTION("""COMPUTED_VALUE"""),4.8)</f>
        <v>4.8</v>
      </c>
      <c r="V17" s="11"/>
      <c r="W17" s="11"/>
      <c r="X17" s="11"/>
      <c r="Y17" s="11"/>
      <c r="Z17" s="15"/>
      <c r="AA17" s="15" t="str">
        <f>IFERROR(__xludf.DUMMYFUNCTION("""COMPUTED_VALUE"""),"U00190037")</f>
        <v>U00190037</v>
      </c>
    </row>
    <row r="18">
      <c r="A18" s="14">
        <v>17.0</v>
      </c>
      <c r="B18" s="14" t="s">
        <v>61</v>
      </c>
      <c r="C18" s="10">
        <f>IFERROR(__xludf.DUMMYFUNCTION("""COMPUTED_VALUE"""),4.0)</f>
        <v>4</v>
      </c>
      <c r="D18" s="11">
        <f>IFERROR(__xludf.DUMMYFUNCTION("""COMPUTED_VALUE"""),4.5)</f>
        <v>4.5</v>
      </c>
      <c r="E18" s="10">
        <f>IFERROR(__xludf.DUMMYFUNCTION("""COMPUTED_VALUE"""),4.9)</f>
        <v>4.9</v>
      </c>
      <c r="F18" s="11">
        <f>IFERROR(__xludf.DUMMYFUNCTION("""COMPUTED_VALUE"""),4.4)</f>
        <v>4.4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IFERROR(__xludf.DUMMYFUNCTION("""COMPUTED_VALUE"""),4.8)</f>
        <v>4.8</v>
      </c>
      <c r="J18" s="11">
        <f>IFERROR(__xludf.DUMMYFUNCTION("""COMPUTED_VALUE"""),4.5)</f>
        <v>4.5</v>
      </c>
      <c r="K18" s="11">
        <f>IFERROR(__xludf.DUMMYFUNCTION("""COMPUTED_VALUE"""),4.8)</f>
        <v>4.8</v>
      </c>
      <c r="L18" s="11">
        <f>IFERROR(__xludf.DUMMYFUNCTION("""COMPUTED_VALUE"""),4.9)</f>
        <v>4.9</v>
      </c>
      <c r="M18" s="11">
        <f>IFERROR(__xludf.DUMMYFUNCTION("""COMPUTED_VALUE"""),5.0)</f>
        <v>5</v>
      </c>
      <c r="N18" s="11">
        <f>IFERROR(__xludf.DUMMYFUNCTION("""COMPUTED_VALUE"""),4.8)</f>
        <v>4.8</v>
      </c>
      <c r="O18" s="11"/>
      <c r="P18" s="12">
        <f>IFERROR(__xludf.DUMMYFUNCTION("""COMPUTED_VALUE"""),4.6)</f>
        <v>4.6</v>
      </c>
      <c r="Q18" s="11"/>
      <c r="R18" s="11">
        <f>IFERROR(__xludf.DUMMYFUNCTION("""COMPUTED_VALUE"""),2.4)</f>
        <v>2.4</v>
      </c>
      <c r="S18" s="11">
        <f>IFERROR(__xludf.DUMMYFUNCTION("""COMPUTED_VALUE"""),3.4)</f>
        <v>3.4</v>
      </c>
      <c r="T18" s="11">
        <f>IFERROR(__xludf.DUMMYFUNCTION("""COMPUTED_VALUE"""),4.3)</f>
        <v>4.3</v>
      </c>
      <c r="U18" s="11">
        <f>IFERROR(__xludf.DUMMYFUNCTION("""COMPUTED_VALUE"""),4.8)</f>
        <v>4.8</v>
      </c>
      <c r="V18" s="11"/>
      <c r="W18" s="11"/>
      <c r="X18" s="11"/>
      <c r="Y18" s="11"/>
      <c r="Z18" s="15"/>
      <c r="AA18" s="15" t="str">
        <f>IFERROR(__xludf.DUMMYFUNCTION("""COMPUTED_VALUE"""),"U00190913")</f>
        <v>U00190913</v>
      </c>
    </row>
    <row r="19">
      <c r="A19" s="14">
        <v>18.0</v>
      </c>
      <c r="B19" s="14" t="s">
        <v>62</v>
      </c>
      <c r="C19" s="10">
        <f>IFERROR(__xludf.DUMMYFUNCTION("""COMPUTED_VALUE"""),2.7)</f>
        <v>2.7</v>
      </c>
      <c r="D19" s="11">
        <f>IFERROR(__xludf.DUMMYFUNCTION("""COMPUTED_VALUE"""),0.0)</f>
        <v>0</v>
      </c>
      <c r="E19" s="10">
        <f>IFERROR(__xludf.DUMMYFUNCTION("""COMPUTED_VALUE"""),0.8)</f>
        <v>0.8</v>
      </c>
      <c r="F19" s="11">
        <f>IFERROR(__xludf.DUMMYFUNCTION("""COMPUTED_VALUE"""),1.2)</f>
        <v>1.2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1">
        <f>IFERROR(__xludf.DUMMYFUNCTION("""COMPUTED_VALUE"""),0.0)</f>
        <v>0</v>
      </c>
      <c r="K19" s="11">
        <f>IFERROR(__xludf.DUMMYFUNCTION("""COMPUTED_VALUE"""),0.0)</f>
        <v>0</v>
      </c>
      <c r="L19" s="11">
        <f>IFERROR(__xludf.DUMMYFUNCTION("""COMPUTED_VALUE"""),0.0)</f>
        <v>0</v>
      </c>
      <c r="M19" s="11">
        <f>IFERROR(__xludf.DUMMYFUNCTION("""COMPUTED_VALUE"""),0.0)</f>
        <v>0</v>
      </c>
      <c r="N19" s="11">
        <f>IFERROR(__xludf.DUMMYFUNCTION("""COMPUTED_VALUE"""),0.0)</f>
        <v>0</v>
      </c>
      <c r="O19" s="11"/>
      <c r="P19" s="12">
        <f>IFERROR(__xludf.DUMMYFUNCTION("""COMPUTED_VALUE"""),0.0)</f>
        <v>0</v>
      </c>
      <c r="Q19" s="11"/>
      <c r="R19" s="11">
        <f>IFERROR(__xludf.DUMMYFUNCTION("""COMPUTED_VALUE"""),0.0)</f>
        <v>0</v>
      </c>
      <c r="S19" s="11">
        <f>IFERROR(__xludf.DUMMYFUNCTION("""COMPUTED_VALUE"""),0.6)</f>
        <v>0.6</v>
      </c>
      <c r="T19" s="11">
        <f>IFERROR(__xludf.DUMMYFUNCTION("""COMPUTED_VALUE"""),0.0)</f>
        <v>0</v>
      </c>
      <c r="U19" s="11">
        <f>IFERROR(__xludf.DUMMYFUNCTION("""COMPUTED_VALUE"""),0.0)</f>
        <v>0</v>
      </c>
      <c r="V19" s="11"/>
      <c r="W19" s="11"/>
      <c r="X19" s="11"/>
      <c r="Y19" s="11"/>
      <c r="Z19" s="15"/>
      <c r="AA19" s="15" t="str">
        <f>IFERROR(__xludf.DUMMYFUNCTION("""COMPUTED_VALUE"""),"U00189207")</f>
        <v>U00189207</v>
      </c>
    </row>
    <row r="20">
      <c r="A20" s="14">
        <v>19.0</v>
      </c>
      <c r="B20" s="14" t="s">
        <v>63</v>
      </c>
      <c r="C20" s="10">
        <f>IFERROR(__xludf.DUMMYFUNCTION("""COMPUTED_VALUE"""),4.9)</f>
        <v>4.9</v>
      </c>
      <c r="D20" s="11">
        <f>IFERROR(__xludf.DUMMYFUNCTION("""COMPUTED_VALUE"""),5.0)</f>
        <v>5</v>
      </c>
      <c r="E20" s="10">
        <f>IFERROR(__xludf.DUMMYFUNCTION("""COMPUTED_VALUE"""),3.8)</f>
        <v>3.8</v>
      </c>
      <c r="F20" s="11">
        <f>IFERROR(__xludf.DUMMYFUNCTION("""COMPUTED_VALUE"""),4.6)</f>
        <v>4.6</v>
      </c>
      <c r="G20" s="1">
        <f>IFERROR(__xludf.DUMMYFUNCTION("""COMPUTED_VALUE"""),4.8)</f>
        <v>4.8</v>
      </c>
      <c r="H20" s="1">
        <f>IFERROR(__xludf.DUMMYFUNCTION("""COMPUTED_VALUE"""),4.2)</f>
        <v>4.2</v>
      </c>
      <c r="I20" s="1">
        <f>IFERROR(__xludf.DUMMYFUNCTION("""COMPUTED_VALUE"""),4.1)</f>
        <v>4.1</v>
      </c>
      <c r="J20" s="11">
        <f>IFERROR(__xludf.DUMMYFUNCTION("""COMPUTED_VALUE"""),4.9)</f>
        <v>4.9</v>
      </c>
      <c r="K20" s="11">
        <f>IFERROR(__xludf.DUMMYFUNCTION("""COMPUTED_VALUE"""),0.0)</f>
        <v>0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>
        <f>IFERROR(__xludf.DUMMYFUNCTION("""COMPUTED_VALUE"""),0.2)</f>
        <v>0.2</v>
      </c>
      <c r="O20" s="11"/>
      <c r="P20" s="12">
        <f>IFERROR(__xludf.DUMMYFUNCTION("""COMPUTED_VALUE"""),2.3)</f>
        <v>2.3</v>
      </c>
      <c r="Q20" s="11"/>
      <c r="R20" s="11">
        <f>IFERROR(__xludf.DUMMYFUNCTION("""COMPUTED_VALUE"""),0.5)</f>
        <v>0.5</v>
      </c>
      <c r="S20" s="11">
        <f>IFERROR(__xludf.DUMMYFUNCTION("""COMPUTED_VALUE"""),2.5)</f>
        <v>2.5</v>
      </c>
      <c r="T20" s="11">
        <f>IFERROR(__xludf.DUMMYFUNCTION("""COMPUTED_VALUE"""),4.5)</f>
        <v>4.5</v>
      </c>
      <c r="U20" s="11">
        <f>IFERROR(__xludf.DUMMYFUNCTION("""COMPUTED_VALUE"""),0.0)</f>
        <v>0</v>
      </c>
      <c r="V20" s="11"/>
      <c r="W20" s="11"/>
      <c r="X20" s="11"/>
      <c r="Y20" s="11"/>
      <c r="Z20" s="15"/>
      <c r="AA20" s="15" t="str">
        <f>IFERROR(__xludf.DUMMYFUNCTION("""COMPUTED_VALUE"""),"U00190960")</f>
        <v>U00190960</v>
      </c>
    </row>
    <row r="21">
      <c r="A21" s="14">
        <v>20.0</v>
      </c>
      <c r="B21" s="14" t="s">
        <v>64</v>
      </c>
      <c r="C21" s="10">
        <f>IFERROR(__xludf.DUMMYFUNCTION("""COMPUTED_VALUE"""),3.6)</f>
        <v>3.6</v>
      </c>
      <c r="D21" s="11">
        <f>IFERROR(__xludf.DUMMYFUNCTION("""COMPUTED_VALUE"""),0.5)</f>
        <v>0.5</v>
      </c>
      <c r="E21" s="10">
        <f>IFERROR(__xludf.DUMMYFUNCTION("""COMPUTED_VALUE"""),1.6)</f>
        <v>1.6</v>
      </c>
      <c r="F21" s="11">
        <f>IFERROR(__xludf.DUMMYFUNCTION("""COMPUTED_VALUE"""),1.9)</f>
        <v>1.9</v>
      </c>
      <c r="G21" s="1">
        <f>IFERROR(__xludf.DUMMYFUNCTION("""COMPUTED_VALUE"""),5.0)</f>
        <v>5</v>
      </c>
      <c r="H21" s="1">
        <f>IFERROR(__xludf.DUMMYFUNCTION("""COMPUTED_VALUE"""),4.5)</f>
        <v>4.5</v>
      </c>
      <c r="I21" s="1">
        <f>IFERROR(__xludf.DUMMYFUNCTION("""COMPUTED_VALUE"""),0.0)</f>
        <v>0</v>
      </c>
      <c r="J21" s="11">
        <f>IFERROR(__xludf.DUMMYFUNCTION("""COMPUTED_VALUE"""),0.0)</f>
        <v>0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IFERROR(__xludf.DUMMYFUNCTION("""COMPUTED_VALUE"""),0.0)</f>
        <v>0</v>
      </c>
      <c r="N21" s="11">
        <f>IFERROR(__xludf.DUMMYFUNCTION("""COMPUTED_VALUE"""),0.8)</f>
        <v>0.8</v>
      </c>
      <c r="O21" s="11"/>
      <c r="P21" s="12">
        <f>IFERROR(__xludf.DUMMYFUNCTION("""COMPUTED_VALUE"""),4.7)</f>
        <v>4.7</v>
      </c>
      <c r="Q21" s="11"/>
      <c r="R21" s="11">
        <f>IFERROR(__xludf.DUMMYFUNCTION("""COMPUTED_VALUE"""),1.2)</f>
        <v>1.2</v>
      </c>
      <c r="S21" s="11">
        <f>IFERROR(__xludf.DUMMYFUNCTION("""COMPUTED_VALUE"""),1.5)</f>
        <v>1.5</v>
      </c>
      <c r="T21" s="11">
        <f>IFERROR(__xludf.DUMMYFUNCTION("""COMPUTED_VALUE"""),4.5)</f>
        <v>4.5</v>
      </c>
      <c r="U21" s="11">
        <f>IFERROR(__xludf.DUMMYFUNCTION("""COMPUTED_VALUE"""),4.8)</f>
        <v>4.8</v>
      </c>
      <c r="V21" s="11"/>
      <c r="W21" s="11"/>
      <c r="X21" s="11"/>
      <c r="Y21" s="11"/>
      <c r="Z21" s="15"/>
      <c r="AA21" s="15" t="str">
        <f>IFERROR(__xludf.DUMMYFUNCTION("""COMPUTED_VALUE"""),"U00189475")</f>
        <v>U00189475</v>
      </c>
    </row>
    <row r="22">
      <c r="A22" s="14">
        <v>21.0</v>
      </c>
      <c r="B22" s="14" t="s">
        <v>65</v>
      </c>
      <c r="C22" s="10">
        <f>IFERROR(__xludf.DUMMYFUNCTION("""COMPUTED_VALUE"""),3.6)</f>
        <v>3.6</v>
      </c>
      <c r="D22" s="11">
        <f>IFERROR(__xludf.DUMMYFUNCTION("""COMPUTED_VALUE"""),5.0)</f>
        <v>5</v>
      </c>
      <c r="E22" s="10">
        <f>IFERROR(__xludf.DUMMYFUNCTION("""COMPUTED_VALUE"""),4.8)</f>
        <v>4.8</v>
      </c>
      <c r="F22" s="11">
        <f>IFERROR(__xludf.DUMMYFUNCTION("""COMPUTED_VALUE"""),4.5)</f>
        <v>4.5</v>
      </c>
      <c r="G22" s="1">
        <f>IFERROR(__xludf.DUMMYFUNCTION("""COMPUTED_VALUE"""),4.3)</f>
        <v>4.3</v>
      </c>
      <c r="H22" s="1">
        <f>IFERROR(__xludf.DUMMYFUNCTION("""COMPUTED_VALUE"""),4.8)</f>
        <v>4.8</v>
      </c>
      <c r="I22" s="1">
        <f>IFERROR(__xludf.DUMMYFUNCTION("""COMPUTED_VALUE"""),0.0)</f>
        <v>0</v>
      </c>
      <c r="J22" s="11">
        <f>IFERROR(__xludf.DUMMYFUNCTION("""COMPUTED_VALUE"""),5.0)</f>
        <v>5</v>
      </c>
      <c r="K22" s="11">
        <f>IFERROR(__xludf.DUMMYFUNCTION("""COMPUTED_VALUE"""),4.8)</f>
        <v>4.8</v>
      </c>
      <c r="L22" s="11">
        <f>IFERROR(__xludf.DUMMYFUNCTION("""COMPUTED_VALUE"""),4.8)</f>
        <v>4.8</v>
      </c>
      <c r="M22" s="11">
        <f>IFERROR(__xludf.DUMMYFUNCTION("""COMPUTED_VALUE"""),5.0)</f>
        <v>5</v>
      </c>
      <c r="N22" s="11">
        <f>IFERROR(__xludf.DUMMYFUNCTION("""COMPUTED_VALUE"""),3.4)</f>
        <v>3.4</v>
      </c>
      <c r="O22" s="11"/>
      <c r="P22" s="12">
        <f>IFERROR(__xludf.DUMMYFUNCTION("""COMPUTED_VALUE"""),2.3)</f>
        <v>2.3</v>
      </c>
      <c r="Q22" s="11"/>
      <c r="R22" s="11">
        <f>IFERROR(__xludf.DUMMYFUNCTION("""COMPUTED_VALUE"""),1.5)</f>
        <v>1.5</v>
      </c>
      <c r="S22" s="11">
        <f>IFERROR(__xludf.DUMMYFUNCTION("""COMPUTED_VALUE"""),3.0)</f>
        <v>3</v>
      </c>
      <c r="T22" s="11">
        <f>IFERROR(__xludf.DUMMYFUNCTION("""COMPUTED_VALUE"""),4.5)</f>
        <v>4.5</v>
      </c>
      <c r="U22" s="11">
        <f>IFERROR(__xludf.DUMMYFUNCTION("""COMPUTED_VALUE"""),0.0)</f>
        <v>0</v>
      </c>
      <c r="V22" s="11"/>
      <c r="W22" s="11"/>
      <c r="X22" s="11"/>
      <c r="Y22" s="11"/>
      <c r="Z22" s="15"/>
      <c r="AA22" s="15" t="str">
        <f>IFERROR(__xludf.DUMMYFUNCTION("""COMPUTED_VALUE"""),"U00190866")</f>
        <v>U00190866</v>
      </c>
    </row>
    <row r="23">
      <c r="A23" s="14">
        <v>22.0</v>
      </c>
      <c r="B23" s="14" t="s">
        <v>66</v>
      </c>
      <c r="C23" s="10">
        <f>IFERROR(__xludf.DUMMYFUNCTION("""COMPUTED_VALUE"""),5.0)</f>
        <v>5</v>
      </c>
      <c r="D23" s="11">
        <f>IFERROR(__xludf.DUMMYFUNCTION("""COMPUTED_VALUE"""),5.0)</f>
        <v>5</v>
      </c>
      <c r="E23" s="10">
        <f>IFERROR(__xludf.DUMMYFUNCTION("""COMPUTED_VALUE"""),5.0)</f>
        <v>5</v>
      </c>
      <c r="F23" s="11">
        <f>IFERROR(__xludf.DUMMYFUNCTION("""COMPUTED_VALUE"""),5.0)</f>
        <v>5</v>
      </c>
      <c r="G23" s="1">
        <f>IFERROR(__xludf.DUMMYFUNCTION("""COMPUTED_VALUE"""),4.3)</f>
        <v>4.3</v>
      </c>
      <c r="H23" s="1">
        <f>IFERROR(__xludf.DUMMYFUNCTION("""COMPUTED_VALUE"""),5.0)</f>
        <v>5</v>
      </c>
      <c r="I23" s="1">
        <f>IFERROR(__xludf.DUMMYFUNCTION("""COMPUTED_VALUE"""),5.0)</f>
        <v>5</v>
      </c>
      <c r="J23" s="11">
        <f>IFERROR(__xludf.DUMMYFUNCTION("""COMPUTED_VALUE"""),4.8)</f>
        <v>4.8</v>
      </c>
      <c r="K23" s="11">
        <f>IFERROR(__xludf.DUMMYFUNCTION("""COMPUTED_VALUE"""),5.0)</f>
        <v>5</v>
      </c>
      <c r="L23" s="11">
        <f>IFERROR(__xludf.DUMMYFUNCTION("""COMPUTED_VALUE"""),5.0)</f>
        <v>5</v>
      </c>
      <c r="M23" s="11">
        <f>IFERROR(__xludf.DUMMYFUNCTION("""COMPUTED_VALUE"""),5.0)</f>
        <v>5</v>
      </c>
      <c r="N23" s="11">
        <f>IFERROR(__xludf.DUMMYFUNCTION("""COMPUTED_VALUE"""),5.0)</f>
        <v>5</v>
      </c>
      <c r="O23" s="11"/>
      <c r="P23" s="12">
        <f>IFERROR(__xludf.DUMMYFUNCTION("""COMPUTED_VALUE"""),5.0)</f>
        <v>5</v>
      </c>
      <c r="Q23" s="11"/>
      <c r="R23" s="11">
        <f>IFERROR(__xludf.DUMMYFUNCTION("""COMPUTED_VALUE"""),2.5)</f>
        <v>2.5</v>
      </c>
      <c r="S23" s="11">
        <f>IFERROR(__xludf.DUMMYFUNCTION("""COMPUTED_VALUE"""),3.7)</f>
        <v>3.7</v>
      </c>
      <c r="T23" s="11">
        <f>IFERROR(__xludf.DUMMYFUNCTION("""COMPUTED_VALUE"""),5.0)</f>
        <v>5</v>
      </c>
      <c r="U23" s="11">
        <f>IFERROR(__xludf.DUMMYFUNCTION("""COMPUTED_VALUE"""),5.0)</f>
        <v>5</v>
      </c>
      <c r="V23" s="11"/>
      <c r="W23" s="11"/>
      <c r="X23" s="11"/>
      <c r="Y23" s="11"/>
      <c r="Z23" s="15"/>
      <c r="AA23" s="15" t="str">
        <f>IFERROR(__xludf.DUMMYFUNCTION("""COMPUTED_VALUE"""),"U00188702")</f>
        <v>U00188702</v>
      </c>
    </row>
    <row r="24">
      <c r="A24" s="14">
        <v>23.0</v>
      </c>
      <c r="B24" s="14" t="s">
        <v>67</v>
      </c>
      <c r="C24" s="10">
        <f>IFERROR(__xludf.DUMMYFUNCTION("""COMPUTED_VALUE"""),3.0)</f>
        <v>3</v>
      </c>
      <c r="D24" s="11">
        <f>IFERROR(__xludf.DUMMYFUNCTION("""COMPUTED_VALUE"""),2.0)</f>
        <v>2</v>
      </c>
      <c r="E24" s="10">
        <f>IFERROR(__xludf.DUMMYFUNCTION("""COMPUTED_VALUE"""),4.5)</f>
        <v>4.5</v>
      </c>
      <c r="F24" s="11">
        <f>IFERROR(__xludf.DUMMYFUNCTION("""COMPUTED_VALUE"""),3.1)</f>
        <v>3.1</v>
      </c>
      <c r="G24" s="1">
        <f>IFERROR(__xludf.DUMMYFUNCTION("""COMPUTED_VALUE"""),4.5)</f>
        <v>4.5</v>
      </c>
      <c r="H24" s="1">
        <f>IFERROR(__xludf.DUMMYFUNCTION("""COMPUTED_VALUE"""),4.5)</f>
        <v>4.5</v>
      </c>
      <c r="I24" s="1">
        <f>IFERROR(__xludf.DUMMYFUNCTION("""COMPUTED_VALUE"""),4.3)</f>
        <v>4.3</v>
      </c>
      <c r="J24" s="11">
        <f>IFERROR(__xludf.DUMMYFUNCTION("""COMPUTED_VALUE"""),4.9)</f>
        <v>4.9</v>
      </c>
      <c r="K24" s="11">
        <f>IFERROR(__xludf.DUMMYFUNCTION("""COMPUTED_VALUE"""),4.3)</f>
        <v>4.3</v>
      </c>
      <c r="L24" s="11">
        <f>IFERROR(__xludf.DUMMYFUNCTION("""COMPUTED_VALUE"""),4.7)</f>
        <v>4.7</v>
      </c>
      <c r="M24" s="11">
        <f>IFERROR(__xludf.DUMMYFUNCTION("""COMPUTED_VALUE"""),4.0)</f>
        <v>4</v>
      </c>
      <c r="N24" s="11">
        <f>IFERROR(__xludf.DUMMYFUNCTION("""COMPUTED_VALUE"""),3.5)</f>
        <v>3.5</v>
      </c>
      <c r="O24" s="11"/>
      <c r="P24" s="12">
        <f>IFERROR(__xludf.DUMMYFUNCTION("""COMPUTED_VALUE"""),4.8)</f>
        <v>4.8</v>
      </c>
      <c r="Q24" s="11"/>
      <c r="R24" s="11">
        <f>IFERROR(__xludf.DUMMYFUNCTION("""COMPUTED_VALUE"""),2.0)</f>
        <v>2</v>
      </c>
      <c r="S24" s="11">
        <f>IFERROR(__xludf.DUMMYFUNCTION("""COMPUTED_VALUE"""),2.5)</f>
        <v>2.5</v>
      </c>
      <c r="T24" s="11">
        <f>IFERROR(__xludf.DUMMYFUNCTION("""COMPUTED_VALUE"""),5.0)</f>
        <v>5</v>
      </c>
      <c r="U24" s="11">
        <f>IFERROR(__xludf.DUMMYFUNCTION("""COMPUTED_VALUE"""),4.5)</f>
        <v>4.5</v>
      </c>
      <c r="V24" s="11"/>
      <c r="W24" s="11"/>
      <c r="X24" s="11"/>
      <c r="Y24" s="11"/>
      <c r="Z24" s="15"/>
      <c r="AA24" s="15" t="str">
        <f>IFERROR(__xludf.DUMMYFUNCTION("""COMPUTED_VALUE"""),"U00189620")</f>
        <v>U00189620</v>
      </c>
    </row>
    <row r="25">
      <c r="A25" s="14">
        <v>24.0</v>
      </c>
      <c r="B25" s="14" t="s">
        <v>68</v>
      </c>
      <c r="C25" s="10">
        <f>IFERROR(__xludf.DUMMYFUNCTION("""COMPUTED_VALUE"""),3.0)</f>
        <v>3</v>
      </c>
      <c r="D25" s="11">
        <f>IFERROR(__xludf.DUMMYFUNCTION("""COMPUTED_VALUE"""),3.5)</f>
        <v>3.5</v>
      </c>
      <c r="E25" s="10">
        <f>IFERROR(__xludf.DUMMYFUNCTION("""COMPUTED_VALUE"""),4.7)</f>
        <v>4.7</v>
      </c>
      <c r="F25" s="11">
        <f>IFERROR(__xludf.DUMMYFUNCTION("""COMPUTED_VALUE"""),3.7)</f>
        <v>3.7</v>
      </c>
      <c r="G25" s="1">
        <f>IFERROR(__xludf.DUMMYFUNCTION("""COMPUTED_VALUE"""),4.5)</f>
        <v>4.5</v>
      </c>
      <c r="H25" s="1">
        <f>IFERROR(__xludf.DUMMYFUNCTION("""COMPUTED_VALUE"""),4.8)</f>
        <v>4.8</v>
      </c>
      <c r="I25" s="1">
        <f>IFERROR(__xludf.DUMMYFUNCTION("""COMPUTED_VALUE"""),5.0)</f>
        <v>5</v>
      </c>
      <c r="J25" s="11">
        <f>IFERROR(__xludf.DUMMYFUNCTION("""COMPUTED_VALUE"""),0.0)</f>
        <v>0</v>
      </c>
      <c r="K25" s="11">
        <f>IFERROR(__xludf.DUMMYFUNCTION("""COMPUTED_VALUE"""),4.5)</f>
        <v>4.5</v>
      </c>
      <c r="L25" s="11">
        <f>IFERROR(__xludf.DUMMYFUNCTION("""COMPUTED_VALUE"""),4.5)</f>
        <v>4.5</v>
      </c>
      <c r="M25" s="11">
        <f>IFERROR(__xludf.DUMMYFUNCTION("""COMPUTED_VALUE"""),5.0)</f>
        <v>5</v>
      </c>
      <c r="N25" s="11">
        <f>IFERROR(__xludf.DUMMYFUNCTION("""COMPUTED_VALUE"""),3.8)</f>
        <v>3.8</v>
      </c>
      <c r="O25" s="11"/>
      <c r="P25" s="12">
        <f>IFERROR(__xludf.DUMMYFUNCTION("""COMPUTED_VALUE"""),4.8)</f>
        <v>4.8</v>
      </c>
      <c r="Q25" s="11"/>
      <c r="R25" s="11">
        <f>IFERROR(__xludf.DUMMYFUNCTION("""COMPUTED_VALUE"""),2.1)</f>
        <v>2.1</v>
      </c>
      <c r="S25" s="11">
        <f>IFERROR(__xludf.DUMMYFUNCTION("""COMPUTED_VALUE"""),2.9)</f>
        <v>2.9</v>
      </c>
      <c r="T25" s="11">
        <f>IFERROR(__xludf.DUMMYFUNCTION("""COMPUTED_VALUE"""),5.0)</f>
        <v>5</v>
      </c>
      <c r="U25" s="11">
        <f>IFERROR(__xludf.DUMMYFUNCTION("""COMPUTED_VALUE"""),4.5)</f>
        <v>4.5</v>
      </c>
      <c r="V25" s="11"/>
      <c r="W25" s="11"/>
      <c r="X25" s="11"/>
      <c r="Y25" s="11"/>
      <c r="Z25" s="15"/>
      <c r="AA25" s="15" t="str">
        <f>IFERROR(__xludf.DUMMYFUNCTION("""COMPUTED_VALUE"""),"U00079391")</f>
        <v>U00079391</v>
      </c>
    </row>
    <row r="26">
      <c r="A26" s="14">
        <v>25.0</v>
      </c>
      <c r="B26" s="14" t="s">
        <v>69</v>
      </c>
      <c r="C26" s="10">
        <f>IFERROR(__xludf.DUMMYFUNCTION("""COMPUTED_VALUE"""),5.0)</f>
        <v>5</v>
      </c>
      <c r="D26" s="11">
        <f>IFERROR(__xludf.DUMMYFUNCTION("""COMPUTED_VALUE"""),5.0)</f>
        <v>5</v>
      </c>
      <c r="E26" s="10">
        <f>IFERROR(__xludf.DUMMYFUNCTION("""COMPUTED_VALUE"""),4.1)</f>
        <v>4.1</v>
      </c>
      <c r="F26" s="11">
        <f>IFERROR(__xludf.DUMMYFUNCTION("""COMPUTED_VALUE"""),4.7)</f>
        <v>4.7</v>
      </c>
      <c r="G26" s="1">
        <f>IFERROR(__xludf.DUMMYFUNCTION("""COMPUTED_VALUE"""),4.8)</f>
        <v>4.8</v>
      </c>
      <c r="H26" s="1">
        <f>IFERROR(__xludf.DUMMYFUNCTION("""COMPUTED_VALUE"""),5.0)</f>
        <v>5</v>
      </c>
      <c r="I26" s="1">
        <f>IFERROR(__xludf.DUMMYFUNCTION("""COMPUTED_VALUE"""),0.0)</f>
        <v>0</v>
      </c>
      <c r="J26" s="11">
        <f>IFERROR(__xludf.DUMMYFUNCTION("""COMPUTED_VALUE"""),4.8)</f>
        <v>4.8</v>
      </c>
      <c r="K26" s="11">
        <f>IFERROR(__xludf.DUMMYFUNCTION("""COMPUTED_VALUE"""),4.8)</f>
        <v>4.8</v>
      </c>
      <c r="L26" s="11">
        <f>IFERROR(__xludf.DUMMYFUNCTION("""COMPUTED_VALUE"""),0.0)</f>
        <v>0</v>
      </c>
      <c r="M26" s="11">
        <f>IFERROR(__xludf.DUMMYFUNCTION("""COMPUTED_VALUE"""),5.0)</f>
        <v>5</v>
      </c>
      <c r="N26" s="11">
        <f>IFERROR(__xludf.DUMMYFUNCTION("""COMPUTED_VALUE"""),5.0)</f>
        <v>5</v>
      </c>
      <c r="O26" s="11"/>
      <c r="P26" s="12">
        <f>IFERROR(__xludf.DUMMYFUNCTION("""COMPUTED_VALUE"""),4.9)</f>
        <v>4.9</v>
      </c>
      <c r="Q26" s="11"/>
      <c r="R26" s="11">
        <f>IFERROR(__xludf.DUMMYFUNCTION("""COMPUTED_VALUE"""),2.5)</f>
        <v>2.5</v>
      </c>
      <c r="S26" s="11">
        <f>IFERROR(__xludf.DUMMYFUNCTION("""COMPUTED_VALUE"""),3.6)</f>
        <v>3.6</v>
      </c>
      <c r="T26" s="11">
        <f>IFERROR(__xludf.DUMMYFUNCTION("""COMPUTED_VALUE"""),4.9)</f>
        <v>4.9</v>
      </c>
      <c r="U26" s="11">
        <f>IFERROR(__xludf.DUMMYFUNCTION("""COMPUTED_VALUE"""),4.8)</f>
        <v>4.8</v>
      </c>
      <c r="V26" s="11"/>
      <c r="W26" s="11"/>
      <c r="X26" s="11"/>
      <c r="Y26" s="11"/>
      <c r="Z26" s="15"/>
      <c r="AA26" s="15" t="str">
        <f>IFERROR(__xludf.DUMMYFUNCTION("""COMPUTED_VALUE"""),"U00190937")</f>
        <v>U00190937</v>
      </c>
    </row>
    <row r="27"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28.5"/>
    <col customWidth="1" min="3" max="24" width="5.13"/>
    <col customWidth="1" min="25" max="25" width="8.38"/>
    <col customWidth="1" min="26" max="26" width="9.63"/>
    <col customWidth="1" min="27" max="27" width="6.75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IFERROR(__xludf.DUMMYFUNCTION("IMPORTRANGE(""1vS2gE-mc1A6CX14zq-8uhU927dLafFRogBm_03E8occ"",""EST2!C1:AA24"")"),"P1")</f>
        <v>P1</v>
      </c>
      <c r="D1" s="1" t="str">
        <f>IFERROR(__xludf.DUMMYFUNCTION("""COMPUTED_VALUE"""),"P2")</f>
        <v>P2</v>
      </c>
      <c r="E1" s="1" t="str">
        <f>IFERROR(__xludf.DUMMYFUNCTION("""COMPUTED_VALUE"""),"PQT1")</f>
        <v>PQT1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IFERROR(__xludf.DUMMYFUNCTION("""COMPUTED_VALUE"""),"P3")</f>
        <v>P3</v>
      </c>
      <c r="M1" s="1" t="str">
        <f>IFERROR(__xludf.DUMMYFUNCTION("""COMPUTED_VALUE"""),"P4")</f>
        <v>P4</v>
      </c>
      <c r="N1" s="1" t="str">
        <f>IFERROR(__xludf.DUMMYFUNCTION("""COMPUTED_VALUE"""),"PQT2")</f>
        <v>PQT2</v>
      </c>
      <c r="O1" s="1" t="str">
        <f>IFERROR(__xludf.DUMMYFUNCTION("""COMPUTED_VALUE"""),"PA")</f>
        <v>PA</v>
      </c>
      <c r="P1" s="1" t="str">
        <f>IFERROR(__xludf.DUMMYFUNCTION("""COMPUTED_VALUE"""),"2CTE")</f>
        <v>2CTE</v>
      </c>
      <c r="Q1" s="1" t="str">
        <f>IFERROR(__xludf.DUMMYFUNCTION("""COMPUTED_VALUE"""),"FINAL")</f>
        <v>FINAL</v>
      </c>
      <c r="R1" s="1" t="str">
        <f>IFERROR(__xludf.DUMMYFUNCTION("""COMPUTED_VALUE"""),"Ta6")</f>
        <v>Ta6</v>
      </c>
      <c r="S1" s="1" t="str">
        <f>IFERROR(__xludf.DUMMYFUNCTION("""COMPUTED_VALUE"""),"Ta7")</f>
        <v>Ta7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IFERROR(__xludf.DUMMYFUNCTION("""COMPUTED_VALUE"""),"Q")</f>
        <v>Q</v>
      </c>
      <c r="Y1" s="1" t="str">
        <f>IFERROR(__xludf.DUMMYFUNCTION("""COMPUTED_VALUE"""),"ID")</f>
        <v>ID</v>
      </c>
      <c r="Z1" s="15" t="str">
        <f>IFERROR(__xludf.DUMMYFUNCTION("""COMPUTED_VALUE"""),"NRC")</f>
        <v>NRC</v>
      </c>
      <c r="AA1" s="15" t="str">
        <f>IFERROR(__xludf.DUMMYFUNCTION("""COMPUTED_VALUE"""),"P1")</f>
        <v>P1</v>
      </c>
    </row>
    <row r="2">
      <c r="A2" s="14">
        <v>1.0</v>
      </c>
      <c r="B2" s="14" t="s">
        <v>70</v>
      </c>
      <c r="C2" s="10">
        <f>IFERROR(__xludf.DUMMYFUNCTION("""COMPUTED_VALUE"""),2.3)</f>
        <v>2.3</v>
      </c>
      <c r="D2" s="11">
        <f>IFERROR(__xludf.DUMMYFUNCTION("""COMPUTED_VALUE"""),2.4)</f>
        <v>2.4</v>
      </c>
      <c r="E2" s="11">
        <f>IFERROR(__xludf.DUMMYFUNCTION("""COMPUTED_VALUE"""),4.6)</f>
        <v>4.6</v>
      </c>
      <c r="F2" s="11">
        <f>IFERROR(__xludf.DUMMYFUNCTION("""COMPUTED_VALUE"""),3.0)</f>
        <v>3</v>
      </c>
      <c r="G2" s="1">
        <f>IFERROR(__xludf.DUMMYFUNCTION("""COMPUTED_VALUE"""),3.5)</f>
        <v>3.5</v>
      </c>
      <c r="H2" s="1">
        <f>IFERROR(__xludf.DUMMYFUNCTION("""COMPUTED_VALUE"""),5.0)</f>
        <v>5</v>
      </c>
      <c r="I2" s="1">
        <f>IFERROR(__xludf.DUMMYFUNCTION("""COMPUTED_VALUE"""),4.9)</f>
        <v>4.9</v>
      </c>
      <c r="J2" s="11">
        <f>IFERROR(__xludf.DUMMYFUNCTION("""COMPUTED_VALUE"""),4.8)</f>
        <v>4.8</v>
      </c>
      <c r="K2" s="11">
        <f>IFERROR(__xludf.DUMMYFUNCTION("""COMPUTED_VALUE"""),4.8)</f>
        <v>4.8</v>
      </c>
      <c r="L2" s="11">
        <f>IFERROR(__xludf.DUMMYFUNCTION("""COMPUTED_VALUE"""),3.0)</f>
        <v>3</v>
      </c>
      <c r="M2" s="11"/>
      <c r="N2" s="12">
        <f>IFERROR(__xludf.DUMMYFUNCTION("""COMPUTED_VALUE"""),3.3)</f>
        <v>3.3</v>
      </c>
      <c r="O2" s="11"/>
      <c r="P2" s="11">
        <f>IFERROR(__xludf.DUMMYFUNCTION("""COMPUTED_VALUE"""),1.6)</f>
        <v>1.6</v>
      </c>
      <c r="Q2" s="11">
        <f>IFERROR(__xludf.DUMMYFUNCTION("""COMPUTED_VALUE"""),2.3)</f>
        <v>2.3</v>
      </c>
      <c r="R2" s="11">
        <f>IFERROR(__xludf.DUMMYFUNCTION("""COMPUTED_VALUE"""),4.8)</f>
        <v>4.8</v>
      </c>
      <c r="S2" s="11">
        <f>IFERROR(__xludf.DUMMYFUNCTION("""COMPUTED_VALUE"""),0.0)</f>
        <v>0</v>
      </c>
      <c r="T2" s="11">
        <f>IFERROR(__xludf.DUMMYFUNCTION("""COMPUTED_VALUE"""),5.0)</f>
        <v>5</v>
      </c>
      <c r="U2" s="11"/>
      <c r="V2" s="11"/>
      <c r="W2" s="11"/>
      <c r="X2" s="11"/>
      <c r="Y2" s="11" t="str">
        <f>IFERROR(__xludf.DUMMYFUNCTION("""COMPUTED_VALUE"""),"U00167708")</f>
        <v>U00167708</v>
      </c>
      <c r="Z2" s="15">
        <f>IFERROR(__xludf.DUMMYFUNCTION("""COMPUTED_VALUE"""),63507.0)</f>
        <v>63507</v>
      </c>
      <c r="AA2" s="15">
        <f>IFERROR(__xludf.DUMMYFUNCTION("""COMPUTED_VALUE"""),1.0)</f>
        <v>1</v>
      </c>
    </row>
    <row r="3">
      <c r="A3" s="14">
        <v>2.0</v>
      </c>
      <c r="B3" s="14" t="s">
        <v>71</v>
      </c>
      <c r="C3" s="10">
        <f>IFERROR(__xludf.DUMMYFUNCTION("""COMPUTED_VALUE"""),5.0)</f>
        <v>5</v>
      </c>
      <c r="D3" s="11">
        <f>IFERROR(__xludf.DUMMYFUNCTION("""COMPUTED_VALUE"""),3.5)</f>
        <v>3.5</v>
      </c>
      <c r="E3" s="11">
        <f>IFERROR(__xludf.DUMMYFUNCTION("""COMPUTED_VALUE"""),2.8)</f>
        <v>2.8</v>
      </c>
      <c r="F3" s="11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IFERROR(__xludf.DUMMYFUNCTION("""COMPUTED_VALUE"""),5.0)</f>
        <v>5</v>
      </c>
      <c r="I3" s="1">
        <f>IFERROR(__xludf.DUMMYFUNCTION("""COMPUTED_VALUE"""),0.0)</f>
        <v>0</v>
      </c>
      <c r="J3" s="11">
        <f>IFERROR(__xludf.DUMMYFUNCTION("""COMPUTED_VALUE"""),0.0)</f>
        <v>0</v>
      </c>
      <c r="K3" s="11">
        <f>IFERROR(__xludf.DUMMYFUNCTION("""COMPUTED_VALUE"""),4.5)</f>
        <v>4.5</v>
      </c>
      <c r="L3" s="11">
        <f>IFERROR(__xludf.DUMMYFUNCTION("""COMPUTED_VALUE"""),2.1)</f>
        <v>2.1</v>
      </c>
      <c r="M3" s="11"/>
      <c r="N3" s="12">
        <f>IFERROR(__xludf.DUMMYFUNCTION("""COMPUTED_VALUE"""),3.8)</f>
        <v>3.8</v>
      </c>
      <c r="O3" s="11"/>
      <c r="P3" s="11">
        <f>IFERROR(__xludf.DUMMYFUNCTION("""COMPUTED_VALUE"""),1.4)</f>
        <v>1.4</v>
      </c>
      <c r="Q3" s="11">
        <f>IFERROR(__xludf.DUMMYFUNCTION("""COMPUTED_VALUE"""),2.6)</f>
        <v>2.6</v>
      </c>
      <c r="R3" s="11">
        <f>IFERROR(__xludf.DUMMYFUNCTION("""COMPUTED_VALUE"""),3.5)</f>
        <v>3.5</v>
      </c>
      <c r="S3" s="11">
        <f>IFERROR(__xludf.DUMMYFUNCTION("""COMPUTED_VALUE"""),3.0)</f>
        <v>3</v>
      </c>
      <c r="T3" s="11">
        <f>IFERROR(__xludf.DUMMYFUNCTION("""COMPUTED_VALUE"""),5.0)</f>
        <v>5</v>
      </c>
      <c r="U3" s="11"/>
      <c r="V3" s="11"/>
      <c r="W3" s="11"/>
      <c r="X3" s="11"/>
      <c r="Y3" s="11" t="str">
        <f>IFERROR(__xludf.DUMMYFUNCTION("""COMPUTED_VALUE"""),"U00178362")</f>
        <v>U00178362</v>
      </c>
      <c r="Z3" s="15">
        <f>IFERROR(__xludf.DUMMYFUNCTION("""COMPUTED_VALUE"""),63507.0)</f>
        <v>63507</v>
      </c>
      <c r="AA3" s="15">
        <f>IFERROR(__xludf.DUMMYFUNCTION("""COMPUTED_VALUE"""),4.5)</f>
        <v>4.5</v>
      </c>
    </row>
    <row r="4">
      <c r="A4" s="14">
        <v>3.0</v>
      </c>
      <c r="B4" s="14" t="s">
        <v>72</v>
      </c>
      <c r="C4" s="10">
        <f>IFERROR(__xludf.DUMMYFUNCTION("""COMPUTED_VALUE"""),3.5)</f>
        <v>3.5</v>
      </c>
      <c r="D4" s="11">
        <f>IFERROR(__xludf.DUMMYFUNCTION("""COMPUTED_VALUE"""),4.0)</f>
        <v>4</v>
      </c>
      <c r="E4" s="11">
        <f>IFERROR(__xludf.DUMMYFUNCTION("""COMPUTED_VALUE"""),3.9)</f>
        <v>3.9</v>
      </c>
      <c r="F4" s="11">
        <f>IFERROR(__xludf.DUMMYFUNCTION("""COMPUTED_VALUE"""),3.8)</f>
        <v>3.8</v>
      </c>
      <c r="G4" s="1">
        <f>IFERROR(__xludf.DUMMYFUNCTION("""COMPUTED_VALUE"""),0.0)</f>
        <v>0</v>
      </c>
      <c r="H4" s="1">
        <f>IFERROR(__xludf.DUMMYFUNCTION("""COMPUTED_VALUE"""),5.0)</f>
        <v>5</v>
      </c>
      <c r="I4" s="1">
        <f>IFERROR(__xludf.DUMMYFUNCTION("""COMPUTED_VALUE"""),4.9)</f>
        <v>4.9</v>
      </c>
      <c r="J4" s="11">
        <f>IFERROR(__xludf.DUMMYFUNCTION("""COMPUTED_VALUE"""),4.8)</f>
        <v>4.8</v>
      </c>
      <c r="K4" s="11">
        <f>IFERROR(__xludf.DUMMYFUNCTION("""COMPUTED_VALUE"""),5.0)</f>
        <v>5</v>
      </c>
      <c r="L4" s="11">
        <f>IFERROR(__xludf.DUMMYFUNCTION("""COMPUTED_VALUE"""),2.8)</f>
        <v>2.8</v>
      </c>
      <c r="M4" s="11"/>
      <c r="N4" s="12">
        <f>IFERROR(__xludf.DUMMYFUNCTION("""COMPUTED_VALUE"""),4.8)</f>
        <v>4.8</v>
      </c>
      <c r="O4" s="11"/>
      <c r="P4" s="11">
        <f>IFERROR(__xludf.DUMMYFUNCTION("""COMPUTED_VALUE"""),1.8)</f>
        <v>1.8</v>
      </c>
      <c r="Q4" s="11">
        <f>IFERROR(__xludf.DUMMYFUNCTION("""COMPUTED_VALUE"""),2.8)</f>
        <v>2.8</v>
      </c>
      <c r="R4" s="11">
        <f>IFERROR(__xludf.DUMMYFUNCTION("""COMPUTED_VALUE"""),4.5)</f>
        <v>4.5</v>
      </c>
      <c r="S4" s="11">
        <f>IFERROR(__xludf.DUMMYFUNCTION("""COMPUTED_VALUE"""),5.0)</f>
        <v>5</v>
      </c>
      <c r="T4" s="11">
        <f>IFERROR(__xludf.DUMMYFUNCTION("""COMPUTED_VALUE"""),5.0)</f>
        <v>5</v>
      </c>
      <c r="U4" s="11"/>
      <c r="V4" s="11"/>
      <c r="W4" s="11"/>
      <c r="X4" s="11"/>
      <c r="Y4" s="11" t="str">
        <f>IFERROR(__xludf.DUMMYFUNCTION("""COMPUTED_VALUE"""),"U00144436")</f>
        <v>U00144436</v>
      </c>
      <c r="Z4" s="15">
        <f>IFERROR(__xludf.DUMMYFUNCTION("""COMPUTED_VALUE"""),63507.0)</f>
        <v>63507</v>
      </c>
      <c r="AA4" s="15">
        <f>IFERROR(__xludf.DUMMYFUNCTION("""COMPUTED_VALUE"""),2.55)</f>
        <v>2.55</v>
      </c>
    </row>
    <row r="5">
      <c r="A5" s="14">
        <v>4.0</v>
      </c>
      <c r="B5" s="14" t="s">
        <v>73</v>
      </c>
      <c r="C5" s="10">
        <f>IFERROR(__xludf.DUMMYFUNCTION("""COMPUTED_VALUE"""),4.6)</f>
        <v>4.6</v>
      </c>
      <c r="D5" s="11">
        <f>IFERROR(__xludf.DUMMYFUNCTION("""COMPUTED_VALUE"""),3.5)</f>
        <v>3.5</v>
      </c>
      <c r="E5" s="11">
        <f>IFERROR(__xludf.DUMMYFUNCTION("""COMPUTED_VALUE"""),1.2)</f>
        <v>1.2</v>
      </c>
      <c r="F5" s="11">
        <f>IFERROR(__xludf.DUMMYFUNCTION("""COMPUTED_VALUE"""),3.2)</f>
        <v>3.2</v>
      </c>
      <c r="G5" s="1">
        <f>IFERROR(__xludf.DUMMYFUNCTION("""COMPUTED_VALUE"""),3.3)</f>
        <v>3.3</v>
      </c>
      <c r="H5" s="1">
        <f>IFERROR(__xludf.DUMMYFUNCTION("""COMPUTED_VALUE"""),2.8)</f>
        <v>2.8</v>
      </c>
      <c r="I5" s="1">
        <f>IFERROR(__xludf.DUMMYFUNCTION("""COMPUTED_VALUE"""),0.0)</f>
        <v>0</v>
      </c>
      <c r="J5" s="11">
        <f>IFERROR(__xludf.DUMMYFUNCTION("""COMPUTED_VALUE"""),0.0)</f>
        <v>0</v>
      </c>
      <c r="K5" s="11">
        <f>IFERROR(__xludf.DUMMYFUNCTION("""COMPUTED_VALUE"""),0.0)</f>
        <v>0</v>
      </c>
      <c r="L5" s="11">
        <f>IFERROR(__xludf.DUMMYFUNCTION("""COMPUTED_VALUE"""),2.6)</f>
        <v>2.6</v>
      </c>
      <c r="M5" s="11"/>
      <c r="N5" s="12">
        <f>IFERROR(__xludf.DUMMYFUNCTION("""COMPUTED_VALUE"""),2.7)</f>
        <v>2.7</v>
      </c>
      <c r="O5" s="11"/>
      <c r="P5" s="11">
        <f>IFERROR(__xludf.DUMMYFUNCTION("""COMPUTED_VALUE"""),1.3)</f>
        <v>1.3</v>
      </c>
      <c r="Q5" s="11">
        <f>IFERROR(__xludf.DUMMYFUNCTION("""COMPUTED_VALUE"""),2.2)</f>
        <v>2.2</v>
      </c>
      <c r="R5" s="11">
        <f>IFERROR(__xludf.DUMMYFUNCTION("""COMPUTED_VALUE"""),3.0)</f>
        <v>3</v>
      </c>
      <c r="S5" s="11">
        <f>IFERROR(__xludf.DUMMYFUNCTION("""COMPUTED_VALUE"""),0.0)</f>
        <v>0</v>
      </c>
      <c r="T5" s="11">
        <f>IFERROR(__xludf.DUMMYFUNCTION("""COMPUTED_VALUE"""),5.0)</f>
        <v>5</v>
      </c>
      <c r="U5" s="11"/>
      <c r="V5" s="11"/>
      <c r="W5" s="11"/>
      <c r="X5" s="11"/>
      <c r="Y5" s="11" t="str">
        <f>IFERROR(__xludf.DUMMYFUNCTION("""COMPUTED_VALUE"""),"U00186154")</f>
        <v>U00186154</v>
      </c>
      <c r="Z5" s="15">
        <f>IFERROR(__xludf.DUMMYFUNCTION("""COMPUTED_VALUE"""),63507.0)</f>
        <v>63507</v>
      </c>
      <c r="AA5" s="15">
        <f>IFERROR(__xludf.DUMMYFUNCTION("""COMPUTED_VALUE"""),4.0)</f>
        <v>4</v>
      </c>
    </row>
    <row r="6">
      <c r="A6" s="14">
        <v>5.0</v>
      </c>
      <c r="B6" s="14" t="s">
        <v>74</v>
      </c>
      <c r="C6" s="10">
        <f>IFERROR(__xludf.DUMMYFUNCTION("""COMPUTED_VALUE"""),3.4)</f>
        <v>3.4</v>
      </c>
      <c r="D6" s="11">
        <f>IFERROR(__xludf.DUMMYFUNCTION("""COMPUTED_VALUE"""),3.4)</f>
        <v>3.4</v>
      </c>
      <c r="E6" s="11">
        <f>IFERROR(__xludf.DUMMYFUNCTION("""COMPUTED_VALUE"""),3.8)</f>
        <v>3.8</v>
      </c>
      <c r="F6" s="11">
        <f>IFERROR(__xludf.DUMMYFUNCTION("""COMPUTED_VALUE"""),3.5)</f>
        <v>3.5</v>
      </c>
      <c r="G6" s="1">
        <f>IFERROR(__xludf.DUMMYFUNCTION("""COMPUTED_VALUE"""),4.3)</f>
        <v>4.3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1">
        <f>IFERROR(__xludf.DUMMYFUNCTION("""COMPUTED_VALUE"""),4.8)</f>
        <v>4.8</v>
      </c>
      <c r="K6" s="11">
        <f>IFERROR(__xludf.DUMMYFUNCTION("""COMPUTED_VALUE"""),0.0)</f>
        <v>0</v>
      </c>
      <c r="L6" s="11">
        <f>IFERROR(__xludf.DUMMYFUNCTION("""COMPUTED_VALUE"""),2.4)</f>
        <v>2.4</v>
      </c>
      <c r="M6" s="11"/>
      <c r="N6" s="12">
        <f>IFERROR(__xludf.DUMMYFUNCTION("""COMPUTED_VALUE"""),2.9)</f>
        <v>2.9</v>
      </c>
      <c r="O6" s="11"/>
      <c r="P6" s="11">
        <f>IFERROR(__xludf.DUMMYFUNCTION("""COMPUTED_VALUE"""),1.3)</f>
        <v>1.3</v>
      </c>
      <c r="Q6" s="11">
        <f>IFERROR(__xludf.DUMMYFUNCTION("""COMPUTED_VALUE"""),2.4)</f>
        <v>2.4</v>
      </c>
      <c r="R6" s="11">
        <f>IFERROR(__xludf.DUMMYFUNCTION("""COMPUTED_VALUE"""),4.8)</f>
        <v>4.8</v>
      </c>
      <c r="S6" s="11">
        <f>IFERROR(__xludf.DUMMYFUNCTION("""COMPUTED_VALUE"""),4.0)</f>
        <v>4</v>
      </c>
      <c r="T6" s="11">
        <f>IFERROR(__xludf.DUMMYFUNCTION("""COMPUTED_VALUE"""),0.0)</f>
        <v>0</v>
      </c>
      <c r="U6" s="11"/>
      <c r="V6" s="11"/>
      <c r="W6" s="11"/>
      <c r="X6" s="11"/>
      <c r="Y6" s="11" t="str">
        <f>IFERROR(__xludf.DUMMYFUNCTION("""COMPUTED_VALUE"""),"U00179741")</f>
        <v>U00179741</v>
      </c>
      <c r="Z6" s="15">
        <f>IFERROR(__xludf.DUMMYFUNCTION("""COMPUTED_VALUE"""),63507.0)</f>
        <v>63507</v>
      </c>
      <c r="AA6" s="15">
        <f>IFERROR(__xludf.DUMMYFUNCTION("""COMPUTED_VALUE"""),2.0)</f>
        <v>2</v>
      </c>
    </row>
    <row r="7">
      <c r="A7" s="14">
        <v>6.0</v>
      </c>
      <c r="B7" s="14" t="s">
        <v>75</v>
      </c>
      <c r="C7" s="10">
        <f>IFERROR(__xludf.DUMMYFUNCTION("""COMPUTED_VALUE"""),4.4)</f>
        <v>4.4</v>
      </c>
      <c r="D7" s="11">
        <f>IFERROR(__xludf.DUMMYFUNCTION("""COMPUTED_VALUE"""),3.0)</f>
        <v>3</v>
      </c>
      <c r="E7" s="11">
        <f>IFERROR(__xludf.DUMMYFUNCTION("""COMPUTED_VALUE"""),2.8)</f>
        <v>2.8</v>
      </c>
      <c r="F7" s="11">
        <f>IFERROR(__xludf.DUMMYFUNCTION("""COMPUTED_VALUE"""),3.4)</f>
        <v>3.4</v>
      </c>
      <c r="G7" s="1">
        <f>IFERROR(__xludf.DUMMYFUNCTION("""COMPUTED_VALUE"""),0.0)</f>
        <v>0</v>
      </c>
      <c r="H7" s="1">
        <f>IFERROR(__xludf.DUMMYFUNCTION("""COMPUTED_VALUE"""),4.3)</f>
        <v>4.3</v>
      </c>
      <c r="I7" s="1">
        <f>IFERROR(__xludf.DUMMYFUNCTION("""COMPUTED_VALUE"""),0.0)</f>
        <v>0</v>
      </c>
      <c r="J7" s="11">
        <f>IFERROR(__xludf.DUMMYFUNCTION("""COMPUTED_VALUE"""),5.0)</f>
        <v>5</v>
      </c>
      <c r="K7" s="11">
        <f>IFERROR(__xludf.DUMMYFUNCTION("""COMPUTED_VALUE"""),4.8)</f>
        <v>4.8</v>
      </c>
      <c r="L7" s="11">
        <f>IFERROR(__xludf.DUMMYFUNCTION("""COMPUTED_VALUE"""),3.6)</f>
        <v>3.6</v>
      </c>
      <c r="M7" s="11"/>
      <c r="N7" s="12">
        <f>IFERROR(__xludf.DUMMYFUNCTION("""COMPUTED_VALUE"""),4.0)</f>
        <v>4</v>
      </c>
      <c r="O7" s="11"/>
      <c r="P7" s="11">
        <f>IFERROR(__xludf.DUMMYFUNCTION("""COMPUTED_VALUE"""),1.9)</f>
        <v>1.9</v>
      </c>
      <c r="Q7" s="11">
        <f>IFERROR(__xludf.DUMMYFUNCTION("""COMPUTED_VALUE"""),2.6)</f>
        <v>2.6</v>
      </c>
      <c r="R7" s="11">
        <f>IFERROR(__xludf.DUMMYFUNCTION("""COMPUTED_VALUE"""),4.0)</f>
        <v>4</v>
      </c>
      <c r="S7" s="11">
        <f>IFERROR(__xludf.DUMMYFUNCTION("""COMPUTED_VALUE"""),3.0)</f>
        <v>3</v>
      </c>
      <c r="T7" s="11">
        <f>IFERROR(__xludf.DUMMYFUNCTION("""COMPUTED_VALUE"""),5.0)</f>
        <v>5</v>
      </c>
      <c r="U7" s="11"/>
      <c r="V7" s="11"/>
      <c r="W7" s="11"/>
      <c r="X7" s="11"/>
      <c r="Y7" s="11" t="str">
        <f>IFERROR(__xludf.DUMMYFUNCTION("""COMPUTED_VALUE"""),"U00183448")</f>
        <v>U00183448</v>
      </c>
      <c r="Z7" s="15">
        <f>IFERROR(__xludf.DUMMYFUNCTION("""COMPUTED_VALUE"""),63507.0)</f>
        <v>63507</v>
      </c>
      <c r="AA7" s="15">
        <f>IFERROR(__xludf.DUMMYFUNCTION("""COMPUTED_VALUE"""),4.0)</f>
        <v>4</v>
      </c>
    </row>
    <row r="8">
      <c r="A8" s="14">
        <v>7.0</v>
      </c>
      <c r="B8" s="14" t="s">
        <v>76</v>
      </c>
      <c r="C8" s="10">
        <f>IFERROR(__xludf.DUMMYFUNCTION("""COMPUTED_VALUE"""),5.0)</f>
        <v>5</v>
      </c>
      <c r="D8" s="11">
        <f>IFERROR(__xludf.DUMMYFUNCTION("""COMPUTED_VALUE"""),5.0)</f>
        <v>5</v>
      </c>
      <c r="E8" s="11">
        <f>IFERROR(__xludf.DUMMYFUNCTION("""COMPUTED_VALUE"""),4.6)</f>
        <v>4.6</v>
      </c>
      <c r="F8" s="11">
        <f>IFERROR(__xludf.DUMMYFUNCTION("""COMPUTED_VALUE"""),4.9)</f>
        <v>4.9</v>
      </c>
      <c r="G8" s="1">
        <f>IFERROR(__xludf.DUMMYFUNCTION("""COMPUTED_VALUE"""),3.8)</f>
        <v>3.8</v>
      </c>
      <c r="H8" s="1">
        <f>IFERROR(__xludf.DUMMYFUNCTION("""COMPUTED_VALUE"""),5.0)</f>
        <v>5</v>
      </c>
      <c r="I8" s="1">
        <f>IFERROR(__xludf.DUMMYFUNCTION("""COMPUTED_VALUE"""),5.0)</f>
        <v>5</v>
      </c>
      <c r="J8" s="11">
        <f>IFERROR(__xludf.DUMMYFUNCTION("""COMPUTED_VALUE"""),4.8)</f>
        <v>4.8</v>
      </c>
      <c r="K8" s="11">
        <f>IFERROR(__xludf.DUMMYFUNCTION("""COMPUTED_VALUE"""),4.3)</f>
        <v>4.3</v>
      </c>
      <c r="L8" s="11">
        <f>IFERROR(__xludf.DUMMYFUNCTION("""COMPUTED_VALUE"""),5.0)</f>
        <v>5</v>
      </c>
      <c r="M8" s="11"/>
      <c r="N8" s="12">
        <f>IFERROR(__xludf.DUMMYFUNCTION("""COMPUTED_VALUE"""),4.4)</f>
        <v>4.4</v>
      </c>
      <c r="O8" s="11"/>
      <c r="P8" s="11">
        <f>IFERROR(__xludf.DUMMYFUNCTION("""COMPUTED_VALUE"""),2.4)</f>
        <v>2.4</v>
      </c>
      <c r="Q8" s="11">
        <f>IFERROR(__xludf.DUMMYFUNCTION("""COMPUTED_VALUE"""),3.6)</f>
        <v>3.6</v>
      </c>
      <c r="R8" s="11">
        <f>IFERROR(__xludf.DUMMYFUNCTION("""COMPUTED_VALUE"""),4.3)</f>
        <v>4.3</v>
      </c>
      <c r="S8" s="11">
        <f>IFERROR(__xludf.DUMMYFUNCTION("""COMPUTED_VALUE"""),4.0)</f>
        <v>4</v>
      </c>
      <c r="T8" s="11">
        <f>IFERROR(__xludf.DUMMYFUNCTION("""COMPUTED_VALUE"""),5.0)</f>
        <v>5</v>
      </c>
      <c r="U8" s="11"/>
      <c r="V8" s="11"/>
      <c r="W8" s="11"/>
      <c r="X8" s="11"/>
      <c r="Y8" s="11" t="str">
        <f>IFERROR(__xludf.DUMMYFUNCTION("""COMPUTED_VALUE"""),"U00177993")</f>
        <v>U00177993</v>
      </c>
      <c r="Z8" s="15">
        <f>IFERROR(__xludf.DUMMYFUNCTION("""COMPUTED_VALUE"""),63507.0)</f>
        <v>63507</v>
      </c>
      <c r="AA8" s="15">
        <f>IFERROR(__xludf.DUMMYFUNCTION("""COMPUTED_VALUE"""),4.0)</f>
        <v>4</v>
      </c>
    </row>
    <row r="9">
      <c r="A9" s="14">
        <v>8.0</v>
      </c>
      <c r="B9" s="14" t="s">
        <v>77</v>
      </c>
      <c r="C9" s="10">
        <f>IFERROR(__xludf.DUMMYFUNCTION("""COMPUTED_VALUE"""),4.4)</f>
        <v>4.4</v>
      </c>
      <c r="D9" s="11">
        <f>IFERROR(__xludf.DUMMYFUNCTION("""COMPUTED_VALUE"""),4.8)</f>
        <v>4.8</v>
      </c>
      <c r="E9" s="11">
        <f>IFERROR(__xludf.DUMMYFUNCTION("""COMPUTED_VALUE"""),4.6)</f>
        <v>4.6</v>
      </c>
      <c r="F9" s="11">
        <f>IFERROR(__xludf.DUMMYFUNCTION("""COMPUTED_VALUE"""),4.6)</f>
        <v>4.6</v>
      </c>
      <c r="G9" s="1">
        <f>IFERROR(__xludf.DUMMYFUNCTION("""COMPUTED_VALUE"""),3.8)</f>
        <v>3.8</v>
      </c>
      <c r="H9" s="1">
        <f>IFERROR(__xludf.DUMMYFUNCTION("""COMPUTED_VALUE"""),5.0)</f>
        <v>5</v>
      </c>
      <c r="I9" s="1">
        <f>IFERROR(__xludf.DUMMYFUNCTION("""COMPUTED_VALUE"""),5.0)</f>
        <v>5</v>
      </c>
      <c r="J9" s="11">
        <f>IFERROR(__xludf.DUMMYFUNCTION("""COMPUTED_VALUE"""),4.5)</f>
        <v>4.5</v>
      </c>
      <c r="K9" s="11">
        <f>IFERROR(__xludf.DUMMYFUNCTION("""COMPUTED_VALUE"""),4.5)</f>
        <v>4.5</v>
      </c>
      <c r="L9" s="11">
        <f>IFERROR(__xludf.DUMMYFUNCTION("""COMPUTED_VALUE"""),2.2)</f>
        <v>2.2</v>
      </c>
      <c r="M9" s="11"/>
      <c r="N9" s="12">
        <f>IFERROR(__xludf.DUMMYFUNCTION("""COMPUTED_VALUE"""),4.3)</f>
        <v>4.3</v>
      </c>
      <c r="O9" s="11"/>
      <c r="P9" s="11">
        <f>IFERROR(__xludf.DUMMYFUNCTION("""COMPUTED_VALUE"""),1.5)</f>
        <v>1.5</v>
      </c>
      <c r="Q9" s="11">
        <f>IFERROR(__xludf.DUMMYFUNCTION("""COMPUTED_VALUE"""),3.0)</f>
        <v>3</v>
      </c>
      <c r="R9" s="11">
        <f>IFERROR(__xludf.DUMMYFUNCTION("""COMPUTED_VALUE"""),4.8)</f>
        <v>4.8</v>
      </c>
      <c r="S9" s="11">
        <f>IFERROR(__xludf.DUMMYFUNCTION("""COMPUTED_VALUE"""),3.0)</f>
        <v>3</v>
      </c>
      <c r="T9" s="11">
        <f>IFERROR(__xludf.DUMMYFUNCTION("""COMPUTED_VALUE"""),5.0)</f>
        <v>5</v>
      </c>
      <c r="U9" s="11"/>
      <c r="V9" s="11"/>
      <c r="W9" s="11"/>
      <c r="X9" s="11"/>
      <c r="Y9" s="11" t="str">
        <f>IFERROR(__xludf.DUMMYFUNCTION("""COMPUTED_VALUE"""),"U00186962")</f>
        <v>U00186962</v>
      </c>
      <c r="Z9" s="15">
        <f>IFERROR(__xludf.DUMMYFUNCTION("""COMPUTED_VALUE"""),63507.0)</f>
        <v>63507</v>
      </c>
      <c r="AA9" s="15">
        <f>IFERROR(__xludf.DUMMYFUNCTION("""COMPUTED_VALUE"""),3.0)</f>
        <v>3</v>
      </c>
    </row>
    <row r="10">
      <c r="A10" s="14">
        <v>9.0</v>
      </c>
      <c r="B10" s="14" t="s">
        <v>78</v>
      </c>
      <c r="C10" s="10">
        <f>IFERROR(__xludf.DUMMYFUNCTION("""COMPUTED_VALUE"""),3.4)</f>
        <v>3.4</v>
      </c>
      <c r="D10" s="11">
        <f>IFERROR(__xludf.DUMMYFUNCTION("""COMPUTED_VALUE"""),0.0)</f>
        <v>0</v>
      </c>
      <c r="E10" s="11">
        <f>IFERROR(__xludf.DUMMYFUNCTION("""COMPUTED_VALUE"""),0.9)</f>
        <v>0.9</v>
      </c>
      <c r="F10" s="11">
        <f>IFERROR(__xludf.DUMMYFUNCTION("""COMPUTED_VALUE"""),1.5)</f>
        <v>1.5</v>
      </c>
      <c r="G10" s="1">
        <f>IFERROR(__xludf.DUMMYFUNCTION("""COMPUTED_VALUE"""),0.0)</f>
        <v>0</v>
      </c>
      <c r="H10" s="1">
        <f>IFERROR(__xludf.DUMMYFUNCTION("""COMPUTED_VALUE"""),4.3)</f>
        <v>4.3</v>
      </c>
      <c r="I10" s="1">
        <f>IFERROR(__xludf.DUMMYFUNCTION("""COMPUTED_VALUE"""),0.0)</f>
        <v>0</v>
      </c>
      <c r="J10" s="11">
        <f>IFERROR(__xludf.DUMMYFUNCTION("""COMPUTED_VALUE"""),0.0)</f>
        <v>0</v>
      </c>
      <c r="K10" s="11">
        <f>IFERROR(__xludf.DUMMYFUNCTION("""COMPUTED_VALUE"""),0.0)</f>
        <v>0</v>
      </c>
      <c r="L10" s="11">
        <f>IFERROR(__xludf.DUMMYFUNCTION("""COMPUTED_VALUE"""),3.6)</f>
        <v>3.6</v>
      </c>
      <c r="M10" s="11"/>
      <c r="N10" s="12">
        <f>IFERROR(__xludf.DUMMYFUNCTION("""COMPUTED_VALUE"""),3.1)</f>
        <v>3.1</v>
      </c>
      <c r="O10" s="11"/>
      <c r="P10" s="11">
        <f>IFERROR(__xludf.DUMMYFUNCTION("""COMPUTED_VALUE"""),1.7)</f>
        <v>1.7</v>
      </c>
      <c r="Q10" s="11">
        <f>IFERROR(__xludf.DUMMYFUNCTION("""COMPUTED_VALUE"""),1.6)</f>
        <v>1.6</v>
      </c>
      <c r="R10" s="11">
        <f>IFERROR(__xludf.DUMMYFUNCTION("""COMPUTED_VALUE"""),4.3)</f>
        <v>4.3</v>
      </c>
      <c r="S10" s="11">
        <f>IFERROR(__xludf.DUMMYFUNCTION("""COMPUTED_VALUE"""),0.0)</f>
        <v>0</v>
      </c>
      <c r="T10" s="11">
        <f>IFERROR(__xludf.DUMMYFUNCTION("""COMPUTED_VALUE"""),5.0)</f>
        <v>5</v>
      </c>
      <c r="U10" s="11"/>
      <c r="V10" s="11"/>
      <c r="W10" s="11"/>
      <c r="X10" s="11"/>
      <c r="Y10" s="11" t="str">
        <f>IFERROR(__xludf.DUMMYFUNCTION("""COMPUTED_VALUE"""),"U00183439")</f>
        <v>U00183439</v>
      </c>
      <c r="Z10" s="15">
        <f>IFERROR(__xludf.DUMMYFUNCTION("""COMPUTED_VALUE"""),63507.0)</f>
        <v>63507</v>
      </c>
      <c r="AA10" s="15">
        <f>IFERROR(__xludf.DUMMYFUNCTION("""COMPUTED_VALUE"""),3.0)</f>
        <v>3</v>
      </c>
    </row>
    <row r="11">
      <c r="A11" s="14">
        <v>10.0</v>
      </c>
      <c r="B11" s="14" t="s">
        <v>79</v>
      </c>
      <c r="C11" s="10">
        <f>IFERROR(__xludf.DUMMYFUNCTION("""COMPUTED_VALUE"""),2.2)</f>
        <v>2.2</v>
      </c>
      <c r="D11" s="11">
        <f>IFERROR(__xludf.DUMMYFUNCTION("""COMPUTED_VALUE"""),4.2)</f>
        <v>4.2</v>
      </c>
      <c r="E11" s="11">
        <f>IFERROR(__xludf.DUMMYFUNCTION("""COMPUTED_VALUE"""),2.1)</f>
        <v>2.1</v>
      </c>
      <c r="F11" s="11">
        <f>IFERROR(__xludf.DUMMYFUNCTION("""COMPUTED_VALUE"""),2.9)</f>
        <v>2.9</v>
      </c>
      <c r="G11" s="1">
        <f>IFERROR(__xludf.DUMMYFUNCTION("""COMPUTED_VALUE"""),3.5)</f>
        <v>3.5</v>
      </c>
      <c r="H11" s="1">
        <f>IFERROR(__xludf.DUMMYFUNCTION("""COMPUTED_VALUE"""),0.0)</f>
        <v>0</v>
      </c>
      <c r="I11" s="1">
        <f>IFERROR(__xludf.DUMMYFUNCTION("""COMPUTED_VALUE"""),0.0)</f>
        <v>0</v>
      </c>
      <c r="J11" s="11">
        <f>IFERROR(__xludf.DUMMYFUNCTION("""COMPUTED_VALUE"""),4.8)</f>
        <v>4.8</v>
      </c>
      <c r="K11" s="11">
        <f>IFERROR(__xludf.DUMMYFUNCTION("""COMPUTED_VALUE"""),2.0)</f>
        <v>2</v>
      </c>
      <c r="L11" s="11">
        <f>IFERROR(__xludf.DUMMYFUNCTION("""COMPUTED_VALUE"""),3.1)</f>
        <v>3.1</v>
      </c>
      <c r="M11" s="11"/>
      <c r="N11" s="12">
        <f>IFERROR(__xludf.DUMMYFUNCTION("""COMPUTED_VALUE"""),4.1)</f>
        <v>4.1</v>
      </c>
      <c r="O11" s="11"/>
      <c r="P11" s="11">
        <f>IFERROR(__xludf.DUMMYFUNCTION("""COMPUTED_VALUE"""),1.8)</f>
        <v>1.8</v>
      </c>
      <c r="Q11" s="11">
        <f>IFERROR(__xludf.DUMMYFUNCTION("""COMPUTED_VALUE"""),2.3)</f>
        <v>2.3</v>
      </c>
      <c r="R11" s="11">
        <f>IFERROR(__xludf.DUMMYFUNCTION("""COMPUTED_VALUE"""),4.3)</f>
        <v>4.3</v>
      </c>
      <c r="S11" s="11">
        <f>IFERROR(__xludf.DUMMYFUNCTION("""COMPUTED_VALUE"""),3.0)</f>
        <v>3</v>
      </c>
      <c r="T11" s="11">
        <f>IFERROR(__xludf.DUMMYFUNCTION("""COMPUTED_VALUE"""),5.0)</f>
        <v>5</v>
      </c>
      <c r="U11" s="11"/>
      <c r="V11" s="11"/>
      <c r="W11" s="11"/>
      <c r="X11" s="11"/>
      <c r="Y11" s="11" t="str">
        <f>IFERROR(__xludf.DUMMYFUNCTION("""COMPUTED_VALUE"""),"U00186689")</f>
        <v>U00186689</v>
      </c>
      <c r="Z11" s="15">
        <f>IFERROR(__xludf.DUMMYFUNCTION("""COMPUTED_VALUE"""),63507.0)</f>
        <v>63507</v>
      </c>
      <c r="AA11" s="15">
        <f>IFERROR(__xludf.DUMMYFUNCTION("""COMPUTED_VALUE"""),1.8)</f>
        <v>1.8</v>
      </c>
    </row>
    <row r="12">
      <c r="A12" s="14">
        <v>11.0</v>
      </c>
      <c r="B12" s="14" t="s">
        <v>80</v>
      </c>
      <c r="C12" s="10">
        <f>IFERROR(__xludf.DUMMYFUNCTION("""COMPUTED_VALUE"""),0.0)</f>
        <v>0</v>
      </c>
      <c r="D12" s="11">
        <f>IFERROR(__xludf.DUMMYFUNCTION("""COMPUTED_VALUE"""),0.0)</f>
        <v>0</v>
      </c>
      <c r="E12" s="11">
        <f>IFERROR(__xludf.DUMMYFUNCTION("""COMPUTED_VALUE"""),0.0)</f>
        <v>0</v>
      </c>
      <c r="F12" s="11">
        <f>IFERROR(__xludf.DUMMYFUNCTION("""COMPUTED_VALUE"""),0.0)</f>
        <v>0</v>
      </c>
      <c r="G12" s="1">
        <f>IFERROR(__xludf.DUMMYFUNCTION("""COMPUTED_VALUE"""),0.0)</f>
        <v>0</v>
      </c>
      <c r="H12" s="1">
        <f>IFERROR(__xludf.DUMMYFUNCTION("""COMPUTED_VALUE"""),0.0)</f>
        <v>0</v>
      </c>
      <c r="I12" s="1">
        <f>IFERROR(__xludf.DUMMYFUNCTION("""COMPUTED_VALUE"""),0.0)</f>
        <v>0</v>
      </c>
      <c r="J12" s="11">
        <f>IFERROR(__xludf.DUMMYFUNCTION("""COMPUTED_VALUE"""),0.0)</f>
        <v>0</v>
      </c>
      <c r="K12" s="11">
        <f>IFERROR(__xludf.DUMMYFUNCTION("""COMPUTED_VALUE"""),0.0)</f>
        <v>0</v>
      </c>
      <c r="L12" s="11"/>
      <c r="M12" s="11"/>
      <c r="N12" s="11"/>
      <c r="O12" s="11"/>
      <c r="P12" s="11"/>
      <c r="Q12" s="11"/>
      <c r="R12" s="11">
        <f>IFERROR(__xludf.DUMMYFUNCTION("""COMPUTED_VALUE"""),0.0)</f>
        <v>0</v>
      </c>
      <c r="S12" s="11">
        <f>IFERROR(__xludf.DUMMYFUNCTION("""COMPUTED_VALUE"""),0.0)</f>
        <v>0</v>
      </c>
      <c r="T12" s="11"/>
      <c r="U12" s="11"/>
      <c r="V12" s="11"/>
      <c r="W12" s="11"/>
      <c r="X12" s="11"/>
      <c r="Y12" s="11" t="str">
        <f>IFERROR(__xludf.DUMMYFUNCTION("""COMPUTED_VALUE"""),"U00180170")</f>
        <v>U00180170</v>
      </c>
      <c r="Z12" s="15">
        <f>IFERROR(__xludf.DUMMYFUNCTION("""COMPUTED_VALUE"""),63507.0)</f>
        <v>63507</v>
      </c>
      <c r="AA12" s="15">
        <f>IFERROR(__xludf.DUMMYFUNCTION("""COMPUTED_VALUE"""),0.0)</f>
        <v>0</v>
      </c>
    </row>
    <row r="13">
      <c r="A13" s="14">
        <v>12.0</v>
      </c>
      <c r="B13" s="14" t="s">
        <v>81</v>
      </c>
      <c r="C13" s="10">
        <f>IFERROR(__xludf.DUMMYFUNCTION("""COMPUTED_VALUE"""),3.4)</f>
        <v>3.4</v>
      </c>
      <c r="D13" s="11">
        <f>IFERROR(__xludf.DUMMYFUNCTION("""COMPUTED_VALUE"""),0.5)</f>
        <v>0.5</v>
      </c>
      <c r="E13" s="11">
        <f>IFERROR(__xludf.DUMMYFUNCTION("""COMPUTED_VALUE"""),0.9)</f>
        <v>0.9</v>
      </c>
      <c r="F13" s="11">
        <f>IFERROR(__xludf.DUMMYFUNCTION("""COMPUTED_VALUE"""),1.6)</f>
        <v>1.6</v>
      </c>
      <c r="G13" s="1">
        <f>IFERROR(__xludf.DUMMYFUNCTION("""COMPUTED_VALUE"""),0.0)</f>
        <v>0</v>
      </c>
      <c r="H13" s="1">
        <f>IFERROR(__xludf.DUMMYFUNCTION("""COMPUTED_VALUE"""),0.0)</f>
        <v>0</v>
      </c>
      <c r="I13" s="1">
        <f>IFERROR(__xludf.DUMMYFUNCTION("""COMPUTED_VALUE"""),0.0)</f>
        <v>0</v>
      </c>
      <c r="J13" s="11">
        <f>IFERROR(__xludf.DUMMYFUNCTION("""COMPUTED_VALUE"""),0.0)</f>
        <v>0</v>
      </c>
      <c r="K13" s="11">
        <f>IFERROR(__xludf.DUMMYFUNCTION("""COMPUTED_VALUE"""),4.5)</f>
        <v>4.5</v>
      </c>
      <c r="L13" s="11"/>
      <c r="M13" s="11"/>
      <c r="N13" s="11"/>
      <c r="O13" s="11"/>
      <c r="P13" s="11">
        <f>IFERROR(__xludf.DUMMYFUNCTION("""COMPUTED_VALUE"""),0.0)</f>
        <v>0</v>
      </c>
      <c r="Q13" s="11">
        <f>IFERROR(__xludf.DUMMYFUNCTION("""COMPUTED_VALUE"""),0.8)</f>
        <v>0.8</v>
      </c>
      <c r="R13" s="11">
        <f>IFERROR(__xludf.DUMMYFUNCTION("""COMPUTED_VALUE"""),0.0)</f>
        <v>0</v>
      </c>
      <c r="S13" s="11">
        <f>IFERROR(__xludf.DUMMYFUNCTION("""COMPUTED_VALUE"""),0.0)</f>
        <v>0</v>
      </c>
      <c r="T13" s="11"/>
      <c r="U13" s="11"/>
      <c r="V13" s="11"/>
      <c r="W13" s="11"/>
      <c r="X13" s="11"/>
      <c r="Y13" s="11" t="str">
        <f>IFERROR(__xludf.DUMMYFUNCTION("""COMPUTED_VALUE"""),"U00187627")</f>
        <v>U00187627</v>
      </c>
      <c r="Z13" s="15">
        <f>IFERROR(__xludf.DUMMYFUNCTION("""COMPUTED_VALUE"""),63507.0)</f>
        <v>63507</v>
      </c>
      <c r="AA13" s="15">
        <f>IFERROR(__xludf.DUMMYFUNCTION("""COMPUTED_VALUE"""),3.4)</f>
        <v>3.4</v>
      </c>
    </row>
    <row r="14">
      <c r="A14" s="14">
        <v>13.0</v>
      </c>
      <c r="B14" s="14" t="s">
        <v>82</v>
      </c>
      <c r="C14" s="10">
        <f>IFERROR(__xludf.DUMMYFUNCTION("""COMPUTED_VALUE"""),4.2)</f>
        <v>4.2</v>
      </c>
      <c r="D14" s="11">
        <f>IFERROR(__xludf.DUMMYFUNCTION("""COMPUTED_VALUE"""),3.9)</f>
        <v>3.9</v>
      </c>
      <c r="E14" s="11">
        <f>IFERROR(__xludf.DUMMYFUNCTION("""COMPUTED_VALUE"""),4.3)</f>
        <v>4.3</v>
      </c>
      <c r="F14" s="11">
        <f>IFERROR(__xludf.DUMMYFUNCTION("""COMPUTED_VALUE"""),4.1)</f>
        <v>4.1</v>
      </c>
      <c r="G14" s="1">
        <f>IFERROR(__xludf.DUMMYFUNCTION("""COMPUTED_VALUE"""),3.8)</f>
        <v>3.8</v>
      </c>
      <c r="H14" s="1">
        <f>IFERROR(__xludf.DUMMYFUNCTION("""COMPUTED_VALUE"""),3.5)</f>
        <v>3.5</v>
      </c>
      <c r="I14" s="1">
        <f>IFERROR(__xludf.DUMMYFUNCTION("""COMPUTED_VALUE"""),4.5)</f>
        <v>4.5</v>
      </c>
      <c r="J14" s="11">
        <f>IFERROR(__xludf.DUMMYFUNCTION("""COMPUTED_VALUE"""),4.8)</f>
        <v>4.8</v>
      </c>
      <c r="K14" s="11">
        <f>IFERROR(__xludf.DUMMYFUNCTION("""COMPUTED_VALUE"""),4.8)</f>
        <v>4.8</v>
      </c>
      <c r="L14" s="11">
        <f>IFERROR(__xludf.DUMMYFUNCTION("""COMPUTED_VALUE"""),4.2)</f>
        <v>4.2</v>
      </c>
      <c r="M14" s="11"/>
      <c r="N14" s="12">
        <f>IFERROR(__xludf.DUMMYFUNCTION("""COMPUTED_VALUE"""),1.5)</f>
        <v>1.5</v>
      </c>
      <c r="O14" s="11"/>
      <c r="P14" s="11">
        <f>IFERROR(__xludf.DUMMYFUNCTION("""COMPUTED_VALUE"""),1.6)</f>
        <v>1.6</v>
      </c>
      <c r="Q14" s="11">
        <f>IFERROR(__xludf.DUMMYFUNCTION("""COMPUTED_VALUE"""),2.8)</f>
        <v>2.8</v>
      </c>
      <c r="R14" s="11">
        <f>IFERROR(__xludf.DUMMYFUNCTION("""COMPUTED_VALUE"""),4.5)</f>
        <v>4.5</v>
      </c>
      <c r="S14" s="11">
        <f>IFERROR(__xludf.DUMMYFUNCTION("""COMPUTED_VALUE"""),0.0)</f>
        <v>0</v>
      </c>
      <c r="T14" s="11">
        <f>IFERROR(__xludf.DUMMYFUNCTION("""COMPUTED_VALUE"""),0.0)</f>
        <v>0</v>
      </c>
      <c r="U14" s="11"/>
      <c r="V14" s="11"/>
      <c r="W14" s="11"/>
      <c r="X14" s="11"/>
      <c r="Y14" s="11" t="str">
        <f>IFERROR(__xludf.DUMMYFUNCTION("""COMPUTED_VALUE"""),"U00186798")</f>
        <v>U00186798</v>
      </c>
      <c r="Z14" s="15">
        <f>IFERROR(__xludf.DUMMYFUNCTION("""COMPUTED_VALUE"""),63507.0)</f>
        <v>63507</v>
      </c>
      <c r="AA14" s="15">
        <f>IFERROR(__xludf.DUMMYFUNCTION("""COMPUTED_VALUE"""),3.0)</f>
        <v>3</v>
      </c>
    </row>
    <row r="15">
      <c r="A15" s="14">
        <v>14.0</v>
      </c>
      <c r="B15" s="14" t="s">
        <v>83</v>
      </c>
      <c r="C15" s="10">
        <f>IFERROR(__xludf.DUMMYFUNCTION("""COMPUTED_VALUE"""),3.7)</f>
        <v>3.7</v>
      </c>
      <c r="D15" s="11">
        <f>IFERROR(__xludf.DUMMYFUNCTION("""COMPUTED_VALUE"""),3.5)</f>
        <v>3.5</v>
      </c>
      <c r="E15" s="11">
        <f>IFERROR(__xludf.DUMMYFUNCTION("""COMPUTED_VALUE"""),3.4)</f>
        <v>3.4</v>
      </c>
      <c r="F15" s="11">
        <f>IFERROR(__xludf.DUMMYFUNCTION("""COMPUTED_VALUE"""),3.5)</f>
        <v>3.5</v>
      </c>
      <c r="G15" s="1">
        <f>IFERROR(__xludf.DUMMYFUNCTION("""COMPUTED_VALUE"""),3.3)</f>
        <v>3.3</v>
      </c>
      <c r="H15" s="1">
        <f>IFERROR(__xludf.DUMMYFUNCTION("""COMPUTED_VALUE"""),3.8)</f>
        <v>3.8</v>
      </c>
      <c r="I15" s="1">
        <f>IFERROR(__xludf.DUMMYFUNCTION("""COMPUTED_VALUE"""),0.0)</f>
        <v>0</v>
      </c>
      <c r="J15" s="11">
        <f>IFERROR(__xludf.DUMMYFUNCTION("""COMPUTED_VALUE"""),4.8)</f>
        <v>4.8</v>
      </c>
      <c r="K15" s="11">
        <f>IFERROR(__xludf.DUMMYFUNCTION("""COMPUTED_VALUE"""),5.0)</f>
        <v>5</v>
      </c>
      <c r="L15" s="11">
        <f>IFERROR(__xludf.DUMMYFUNCTION("""COMPUTED_VALUE"""),2.3)</f>
        <v>2.3</v>
      </c>
      <c r="M15" s="11"/>
      <c r="N15" s="12">
        <f>IFERROR(__xludf.DUMMYFUNCTION("""COMPUTED_VALUE"""),1.7)</f>
        <v>1.7</v>
      </c>
      <c r="O15" s="11"/>
      <c r="P15" s="11">
        <f>IFERROR(__xludf.DUMMYFUNCTION("""COMPUTED_VALUE"""),1.0)</f>
        <v>1</v>
      </c>
      <c r="Q15" s="11">
        <f>IFERROR(__xludf.DUMMYFUNCTION("""COMPUTED_VALUE"""),2.2)</f>
        <v>2.2</v>
      </c>
      <c r="R15" s="11">
        <f>IFERROR(__xludf.DUMMYFUNCTION("""COMPUTED_VALUE"""),0.0)</f>
        <v>0</v>
      </c>
      <c r="S15" s="11">
        <f>IFERROR(__xludf.DUMMYFUNCTION("""COMPUTED_VALUE"""),0.0)</f>
        <v>0</v>
      </c>
      <c r="T15" s="11">
        <f>IFERROR(__xludf.DUMMYFUNCTION("""COMPUTED_VALUE"""),5.0)</f>
        <v>5</v>
      </c>
      <c r="U15" s="11"/>
      <c r="V15" s="11"/>
      <c r="W15" s="11"/>
      <c r="X15" s="11"/>
      <c r="Y15" s="11" t="str">
        <f>IFERROR(__xludf.DUMMYFUNCTION("""COMPUTED_VALUE"""),"U00186511")</f>
        <v>U00186511</v>
      </c>
      <c r="Z15" s="15">
        <f>IFERROR(__xludf.DUMMYFUNCTION("""COMPUTED_VALUE"""),63507.0)</f>
        <v>63507</v>
      </c>
      <c r="AA15" s="15">
        <f>IFERROR(__xludf.DUMMYFUNCTION("""COMPUTED_VALUE"""),3.0)</f>
        <v>3</v>
      </c>
    </row>
    <row r="16">
      <c r="A16" s="14">
        <v>15.0</v>
      </c>
      <c r="B16" s="14" t="s">
        <v>84</v>
      </c>
      <c r="C16" s="10">
        <f>IFERROR(__xludf.DUMMYFUNCTION("""COMPUTED_VALUE"""),5.0)</f>
        <v>5</v>
      </c>
      <c r="D16" s="11">
        <f>IFERROR(__xludf.DUMMYFUNCTION("""COMPUTED_VALUE"""),5.0)</f>
        <v>5</v>
      </c>
      <c r="E16" s="11">
        <f>IFERROR(__xludf.DUMMYFUNCTION("""COMPUTED_VALUE"""),4.7)</f>
        <v>4.7</v>
      </c>
      <c r="F16" s="11">
        <f>IFERROR(__xludf.DUMMYFUNCTION("""COMPUTED_VALUE"""),4.9)</f>
        <v>4.9</v>
      </c>
      <c r="G16" s="1">
        <f>IFERROR(__xludf.DUMMYFUNCTION("""COMPUTED_VALUE"""),4.0)</f>
        <v>4</v>
      </c>
      <c r="H16" s="1">
        <f>IFERROR(__xludf.DUMMYFUNCTION("""COMPUTED_VALUE"""),4.8)</f>
        <v>4.8</v>
      </c>
      <c r="I16" s="1">
        <f>IFERROR(__xludf.DUMMYFUNCTION("""COMPUTED_VALUE"""),4.9)</f>
        <v>4.9</v>
      </c>
      <c r="J16" s="11">
        <f>IFERROR(__xludf.DUMMYFUNCTION("""COMPUTED_VALUE"""),4.8)</f>
        <v>4.8</v>
      </c>
      <c r="K16" s="11">
        <f>IFERROR(__xludf.DUMMYFUNCTION("""COMPUTED_VALUE"""),4.8)</f>
        <v>4.8</v>
      </c>
      <c r="L16" s="11">
        <f>IFERROR(__xludf.DUMMYFUNCTION("""COMPUTED_VALUE"""),5.0)</f>
        <v>5</v>
      </c>
      <c r="M16" s="11"/>
      <c r="N16" s="12">
        <f>IFERROR(__xludf.DUMMYFUNCTION("""COMPUTED_VALUE"""),4.0)</f>
        <v>4</v>
      </c>
      <c r="O16" s="11"/>
      <c r="P16" s="11">
        <f>IFERROR(__xludf.DUMMYFUNCTION("""COMPUTED_VALUE"""),2.3)</f>
        <v>2.3</v>
      </c>
      <c r="Q16" s="11">
        <f>IFERROR(__xludf.DUMMYFUNCTION("""COMPUTED_VALUE"""),3.6)</f>
        <v>3.6</v>
      </c>
      <c r="R16" s="11">
        <f>IFERROR(__xludf.DUMMYFUNCTION("""COMPUTED_VALUE"""),4.0)</f>
        <v>4</v>
      </c>
      <c r="S16" s="11">
        <f>IFERROR(__xludf.DUMMYFUNCTION("""COMPUTED_VALUE"""),3.0)</f>
        <v>3</v>
      </c>
      <c r="T16" s="11">
        <f>IFERROR(__xludf.DUMMYFUNCTION("""COMPUTED_VALUE"""),5.0)</f>
        <v>5</v>
      </c>
      <c r="U16" s="11"/>
      <c r="V16" s="11"/>
      <c r="W16" s="11"/>
      <c r="X16" s="11"/>
      <c r="Y16" s="11" t="str">
        <f>IFERROR(__xludf.DUMMYFUNCTION("""COMPUTED_VALUE"""),"U00182742")</f>
        <v>U00182742</v>
      </c>
      <c r="Z16" s="15">
        <f>IFERROR(__xludf.DUMMYFUNCTION("""COMPUTED_VALUE"""),63507.0)</f>
        <v>63507</v>
      </c>
      <c r="AA16" s="15">
        <f>IFERROR(__xludf.DUMMYFUNCTION("""COMPUTED_VALUE"""),4.0)</f>
        <v>4</v>
      </c>
    </row>
    <row r="17">
      <c r="C17" s="16">
        <f>IFERROR(__xludf.DUMMYFUNCTION("""COMPUTED_VALUE"""),3.6333333333333337)</f>
        <v>3.633333333</v>
      </c>
      <c r="D17" s="16">
        <f>IFERROR(__xludf.DUMMYFUNCTION("""COMPUTED_VALUE"""),3.1133333333333337)</f>
        <v>3.113333333</v>
      </c>
      <c r="E17" s="16">
        <f>IFERROR(__xludf.DUMMYFUNCTION("""COMPUTED_VALUE"""),2.973333333333333)</f>
        <v>2.973333333</v>
      </c>
      <c r="F17" s="16">
        <f>IFERROR(__xludf.DUMMYFUNCTION("""COMPUTED_VALUE"""),3.246666666666667)</f>
        <v>3.246666667</v>
      </c>
      <c r="G17" s="16">
        <f>IFERROR(__xludf.DUMMYFUNCTION("""COMPUTED_VALUE"""),2.506666666666667)</f>
        <v>2.506666667</v>
      </c>
      <c r="H17" s="16">
        <f>IFERROR(__xludf.DUMMYFUNCTION("""COMPUTED_VALUE"""),3.5533333333333332)</f>
        <v>3.553333333</v>
      </c>
      <c r="I17" s="16">
        <f>IFERROR(__xludf.DUMMYFUNCTION("""COMPUTED_VALUE"""),2.2800000000000002)</f>
        <v>2.28</v>
      </c>
      <c r="J17" s="16">
        <f>IFERROR(__xludf.DUMMYFUNCTION("""COMPUTED_VALUE"""),3.193333333333333)</f>
        <v>3.193333333</v>
      </c>
      <c r="K17" s="16">
        <f>IFERROR(__xludf.DUMMYFUNCTION("""COMPUTED_VALUE"""),3.2666666666666666)</f>
        <v>3.266666667</v>
      </c>
      <c r="L17" s="16">
        <f>IFERROR(__xludf.DUMMYFUNCTION("""COMPUTED_VALUE"""),3.223076923076923)</f>
        <v>3.223076923</v>
      </c>
      <c r="M17" s="15"/>
      <c r="N17" s="16">
        <f>IFERROR(__xludf.DUMMYFUNCTION("""COMPUTED_VALUE"""),3.430769230769231)</f>
        <v>3.430769231</v>
      </c>
      <c r="O17" s="15"/>
      <c r="P17" s="16">
        <f>IFERROR(__xludf.DUMMYFUNCTION("""COMPUTED_VALUE"""),1.542857142857143)</f>
        <v>1.542857143</v>
      </c>
      <c r="Q17" s="16">
        <f>IFERROR(__xludf.DUMMYFUNCTION("""COMPUTED_VALUE"""),2.485714285714286)</f>
        <v>2.485714286</v>
      </c>
      <c r="R17" s="16">
        <f>IFERROR(__xludf.DUMMYFUNCTION("""COMPUTED_VALUE"""),3.3866666666666663)</f>
        <v>3.386666667</v>
      </c>
      <c r="S17" s="16">
        <f>IFERROR(__xludf.DUMMYFUNCTION("""COMPUTED_VALUE"""),1.8666666666666667)</f>
        <v>1.866666667</v>
      </c>
      <c r="T17" s="15"/>
      <c r="U17" s="15"/>
      <c r="V17" s="15"/>
      <c r="W17" s="15"/>
      <c r="X17" s="15"/>
      <c r="Y17" s="15"/>
      <c r="Z17" s="15"/>
      <c r="AA17" s="15"/>
    </row>
    <row r="18"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</row>
    <row r="19"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</row>
    <row r="20"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</row>
    <row r="21"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</row>
    <row r="22"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</row>
    <row r="23"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</row>
    <row r="24"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5" width="5.13"/>
    <col customWidth="1" min="26" max="26" width="9.63"/>
    <col customWidth="1" min="27" max="27" width="6.5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IFERROR(__xludf.DUMMYFUNCTION("IMPORTRANGE(""1vS2gE-mc1A6CX14zq-8uhU927dLafFRogBm_03E8occ"",""MAT2_C!C1:AA24"")"),"P1")</f>
        <v>P1</v>
      </c>
      <c r="D1" s="1" t="str">
        <f>IFERROR(__xludf.DUMMYFUNCTION("""COMPUTED_VALUE"""),"P2")</f>
        <v>P2</v>
      </c>
      <c r="E1" s="1" t="str">
        <f>IFERROR(__xludf.DUMMYFUNCTION("""COMPUTED_VALUE"""),"PQT1")</f>
        <v>PQT1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IFERROR(__xludf.DUMMYFUNCTION("""COMPUTED_VALUE"""),"Ta6")</f>
        <v>Ta6</v>
      </c>
      <c r="M1" s="1" t="str">
        <f>IFERROR(__xludf.DUMMYFUNCTION("""COMPUTED_VALUE"""),"Ta7")</f>
        <v>Ta7</v>
      </c>
      <c r="N1" s="1" t="str">
        <f>IFERROR(__xludf.DUMMYFUNCTION("""COMPUTED_VALUE"""),"P3")</f>
        <v>P3</v>
      </c>
      <c r="O1" s="1" t="str">
        <f>IFERROR(__xludf.DUMMYFUNCTION("""COMPUTED_VALUE"""),"P4")</f>
        <v>P4</v>
      </c>
      <c r="P1" s="1" t="str">
        <f>IFERROR(__xludf.DUMMYFUNCTION("""COMPUTED_VALUE"""),"PQT2")</f>
        <v>PQT2</v>
      </c>
      <c r="Q1" s="1" t="str">
        <f>IFERROR(__xludf.DUMMYFUNCTION("""COMPUTED_VALUE"""),"PA")</f>
        <v>PA</v>
      </c>
      <c r="R1" s="1" t="str">
        <f>IFERROR(__xludf.DUMMYFUNCTION("""COMPUTED_VALUE"""),"2CTE")</f>
        <v>2CTE</v>
      </c>
      <c r="S1" s="1" t="str">
        <f>IFERROR(__xludf.DUMMYFUNCTION("""COMPUTED_VALUE"""),"FINAL")</f>
        <v>FINAL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IFERROR(__xludf.DUMMYFUNCTION("""COMPUTED_VALUE"""),"Ta12")</f>
        <v>Ta12</v>
      </c>
      <c r="Y1" s="1" t="str">
        <f>IFERROR(__xludf.DUMMYFUNCTION("""COMPUTED_VALUE"""),"Ta13")</f>
        <v>Ta13</v>
      </c>
      <c r="Z1" s="15" t="str">
        <f>IFERROR(__xludf.DUMMYFUNCTION("""COMPUTED_VALUE"""),"Ta14")</f>
        <v>Ta14</v>
      </c>
      <c r="AA1" s="15" t="str">
        <f>IFERROR(__xludf.DUMMYFUNCTION("""COMPUTED_VALUE"""),"ID")</f>
        <v>ID</v>
      </c>
    </row>
    <row r="2">
      <c r="A2" s="14">
        <v>1.0</v>
      </c>
      <c r="B2" s="14" t="s">
        <v>85</v>
      </c>
      <c r="C2" s="10">
        <f>IFERROR(__xludf.DUMMYFUNCTION("""COMPUTED_VALUE"""),3.2)</f>
        <v>3.2</v>
      </c>
      <c r="D2" s="11">
        <f>IFERROR(__xludf.DUMMYFUNCTION("""COMPUTED_VALUE"""),0.0)</f>
        <v>0</v>
      </c>
      <c r="E2" s="10">
        <f>IFERROR(__xludf.DUMMYFUNCTION("""COMPUTED_VALUE"""),1.6)</f>
        <v>1.6</v>
      </c>
      <c r="F2" s="11">
        <f>IFERROR(__xludf.DUMMYFUNCTION("""COMPUTED_VALUE"""),1.6)</f>
        <v>1.6</v>
      </c>
      <c r="G2" s="1">
        <f>IFERROR(__xludf.DUMMYFUNCTION("""COMPUTED_VALUE"""),4.8)</f>
        <v>4.8</v>
      </c>
      <c r="H2" s="1">
        <f>IFERROR(__xludf.DUMMYFUNCTION("""COMPUTED_VALUE"""),4.5)</f>
        <v>4.5</v>
      </c>
      <c r="I2" s="1">
        <f>IFERROR(__xludf.DUMMYFUNCTION("""COMPUTED_VALUE"""),0.0)</f>
        <v>0</v>
      </c>
      <c r="J2" s="11">
        <f>IFERROR(__xludf.DUMMYFUNCTION("""COMPUTED_VALUE"""),0.0)</f>
        <v>0</v>
      </c>
      <c r="K2" s="11">
        <f>IFERROR(__xludf.DUMMYFUNCTION("""COMPUTED_VALUE"""),0.0)</f>
        <v>0</v>
      </c>
      <c r="L2" s="11">
        <f>IFERROR(__xludf.DUMMYFUNCTION("""COMPUTED_VALUE"""),0.0)</f>
        <v>0</v>
      </c>
      <c r="M2" s="11">
        <f>IFERROR(__xludf.DUMMYFUNCTION("""COMPUTED_VALUE"""),0.0)</f>
        <v>0</v>
      </c>
      <c r="N2" s="11"/>
      <c r="O2" s="11"/>
      <c r="P2" s="11"/>
      <c r="Q2" s="11"/>
      <c r="R2" s="11"/>
      <c r="S2" s="11">
        <f>IFERROR(__xludf.DUMMYFUNCTION("""COMPUTED_VALUE"""),0.8)</f>
        <v>0.8</v>
      </c>
      <c r="T2" s="11"/>
      <c r="U2" s="11"/>
      <c r="V2" s="11"/>
      <c r="W2" s="11"/>
      <c r="X2" s="11"/>
      <c r="Y2" s="11"/>
      <c r="Z2" s="15"/>
      <c r="AA2" s="15" t="str">
        <f>IFERROR(__xludf.DUMMYFUNCTION("""COMPUTED_VALUE"""),"U00190130")</f>
        <v>U00190130</v>
      </c>
    </row>
    <row r="3">
      <c r="A3" s="14">
        <v>2.0</v>
      </c>
      <c r="B3" s="14" t="s">
        <v>86</v>
      </c>
      <c r="C3" s="10">
        <f>IFERROR(__xludf.DUMMYFUNCTION("""COMPUTED_VALUE"""),2.4)</f>
        <v>2.4</v>
      </c>
      <c r="D3" s="11">
        <f>IFERROR(__xludf.DUMMYFUNCTION("""COMPUTED_VALUE"""),3.1)</f>
        <v>3.1</v>
      </c>
      <c r="E3" s="10">
        <f>IFERROR(__xludf.DUMMYFUNCTION("""COMPUTED_VALUE"""),4.0)</f>
        <v>4</v>
      </c>
      <c r="F3" s="11">
        <f>IFERROR(__xludf.DUMMYFUNCTION("""COMPUTED_VALUE"""),3.1)</f>
        <v>3.1</v>
      </c>
      <c r="G3" s="1">
        <f>IFERROR(__xludf.DUMMYFUNCTION("""COMPUTED_VALUE"""),4.8)</f>
        <v>4.8</v>
      </c>
      <c r="H3" s="1">
        <f>IFERROR(__xludf.DUMMYFUNCTION("""COMPUTED_VALUE"""),4.8)</f>
        <v>4.8</v>
      </c>
      <c r="I3" s="1">
        <f>IFERROR(__xludf.DUMMYFUNCTION("""COMPUTED_VALUE"""),0.0)</f>
        <v>0</v>
      </c>
      <c r="J3" s="11">
        <f>IFERROR(__xludf.DUMMYFUNCTION("""COMPUTED_VALUE"""),5.0)</f>
        <v>5</v>
      </c>
      <c r="K3" s="11">
        <f>IFERROR(__xludf.DUMMYFUNCTION("""COMPUTED_VALUE"""),4.5)</f>
        <v>4.5</v>
      </c>
      <c r="L3" s="11">
        <f>IFERROR(__xludf.DUMMYFUNCTION("""COMPUTED_VALUE"""),0.0)</f>
        <v>0</v>
      </c>
      <c r="M3" s="11">
        <f>IFERROR(__xludf.DUMMYFUNCTION("""COMPUTED_VALUE"""),5.0)</f>
        <v>5</v>
      </c>
      <c r="N3" s="11">
        <f>IFERROR(__xludf.DUMMYFUNCTION("""COMPUTED_VALUE"""),3.5)</f>
        <v>3.5</v>
      </c>
      <c r="O3" s="11"/>
      <c r="P3" s="12">
        <f>IFERROR(__xludf.DUMMYFUNCTION("""COMPUTED_VALUE"""),5.0)</f>
        <v>5</v>
      </c>
      <c r="Q3" s="11"/>
      <c r="R3" s="11">
        <f>IFERROR(__xludf.DUMMYFUNCTION("""COMPUTED_VALUE"""),2.1)</f>
        <v>2.1</v>
      </c>
      <c r="S3" s="11">
        <f>IFERROR(__xludf.DUMMYFUNCTION("""COMPUTED_VALUE"""),2.6)</f>
        <v>2.6</v>
      </c>
      <c r="T3" s="11">
        <f>IFERROR(__xludf.DUMMYFUNCTION("""COMPUTED_VALUE"""),5.0)</f>
        <v>5</v>
      </c>
      <c r="U3" s="11">
        <f>IFERROR(__xludf.DUMMYFUNCTION("""COMPUTED_VALUE"""),4.9)</f>
        <v>4.9</v>
      </c>
      <c r="V3" s="11"/>
      <c r="W3" s="11"/>
      <c r="X3" s="11"/>
      <c r="Y3" s="11"/>
      <c r="Z3" s="15"/>
      <c r="AA3" s="15" t="str">
        <f>IFERROR(__xludf.DUMMYFUNCTION("""COMPUTED_VALUE"""),"U00190358")</f>
        <v>U00190358</v>
      </c>
    </row>
    <row r="4">
      <c r="A4" s="14">
        <v>3.0</v>
      </c>
      <c r="B4" s="14" t="s">
        <v>87</v>
      </c>
      <c r="C4" s="10">
        <f>IFERROR(__xludf.DUMMYFUNCTION("""COMPUTED_VALUE"""),5.0)</f>
        <v>5</v>
      </c>
      <c r="D4" s="11">
        <f>IFERROR(__xludf.DUMMYFUNCTION("""COMPUTED_VALUE"""),3.9)</f>
        <v>3.9</v>
      </c>
      <c r="E4" s="10">
        <f>IFERROR(__xludf.DUMMYFUNCTION("""COMPUTED_VALUE"""),3.2)</f>
        <v>3.2</v>
      </c>
      <c r="F4" s="11">
        <f>IFERROR(__xludf.DUMMYFUNCTION("""COMPUTED_VALUE"""),4.1)</f>
        <v>4.1</v>
      </c>
      <c r="G4" s="1">
        <f>IFERROR(__xludf.DUMMYFUNCTION("""COMPUTED_VALUE"""),4.8)</f>
        <v>4.8</v>
      </c>
      <c r="H4" s="1">
        <f>IFERROR(__xludf.DUMMYFUNCTION("""COMPUTED_VALUE"""),4.6)</f>
        <v>4.6</v>
      </c>
      <c r="I4" s="1">
        <f>IFERROR(__xludf.DUMMYFUNCTION("""COMPUTED_VALUE"""),0.0)</f>
        <v>0</v>
      </c>
      <c r="J4" s="11">
        <f>IFERROR(__xludf.DUMMYFUNCTION("""COMPUTED_VALUE"""),0.0)</f>
        <v>0</v>
      </c>
      <c r="K4" s="11">
        <f>IFERROR(__xludf.DUMMYFUNCTION("""COMPUTED_VALUE"""),5.0)</f>
        <v>5</v>
      </c>
      <c r="L4" s="11">
        <f>IFERROR(__xludf.DUMMYFUNCTION("""COMPUTED_VALUE"""),0.0)</f>
        <v>0</v>
      </c>
      <c r="M4" s="11">
        <f>IFERROR(__xludf.DUMMYFUNCTION("""COMPUTED_VALUE"""),5.0)</f>
        <v>5</v>
      </c>
      <c r="N4" s="11">
        <f>IFERROR(__xludf.DUMMYFUNCTION("""COMPUTED_VALUE"""),4.3)</f>
        <v>4.3</v>
      </c>
      <c r="O4" s="11"/>
      <c r="P4" s="12">
        <f>IFERROR(__xludf.DUMMYFUNCTION("""COMPUTED_VALUE"""),4.8)</f>
        <v>4.8</v>
      </c>
      <c r="Q4" s="11"/>
      <c r="R4" s="11">
        <f>IFERROR(__xludf.DUMMYFUNCTION("""COMPUTED_VALUE"""),2.3)</f>
        <v>2.3</v>
      </c>
      <c r="S4" s="11">
        <f>IFERROR(__xludf.DUMMYFUNCTION("""COMPUTED_VALUE"""),3.2)</f>
        <v>3.2</v>
      </c>
      <c r="T4" s="11">
        <f>IFERROR(__xludf.DUMMYFUNCTION("""COMPUTED_VALUE"""),4.8)</f>
        <v>4.8</v>
      </c>
      <c r="U4" s="11">
        <f>IFERROR(__xludf.DUMMYFUNCTION("""COMPUTED_VALUE"""),4.8)</f>
        <v>4.8</v>
      </c>
      <c r="V4" s="11"/>
      <c r="W4" s="11"/>
      <c r="X4" s="11"/>
      <c r="Y4" s="11"/>
      <c r="Z4" s="15"/>
      <c r="AA4" s="15" t="str">
        <f>IFERROR(__xludf.DUMMYFUNCTION("""COMPUTED_VALUE"""),"U00190086")</f>
        <v>U00190086</v>
      </c>
    </row>
    <row r="5">
      <c r="A5" s="14">
        <v>4.0</v>
      </c>
      <c r="B5" s="14" t="s">
        <v>88</v>
      </c>
      <c r="C5" s="10">
        <f>IFERROR(__xludf.DUMMYFUNCTION("""COMPUTED_VALUE"""),3.6)</f>
        <v>3.6</v>
      </c>
      <c r="D5" s="11">
        <f>IFERROR(__xludf.DUMMYFUNCTION("""COMPUTED_VALUE"""),2.0)</f>
        <v>2</v>
      </c>
      <c r="E5" s="10">
        <f>IFERROR(__xludf.DUMMYFUNCTION("""COMPUTED_VALUE"""),4.8)</f>
        <v>4.8</v>
      </c>
      <c r="F5" s="11">
        <f>IFERROR(__xludf.DUMMYFUNCTION("""COMPUTED_VALUE"""),3.4)</f>
        <v>3.4</v>
      </c>
      <c r="G5" s="1">
        <f>IFERROR(__xludf.DUMMYFUNCTION("""COMPUTED_VALUE"""),4.7)</f>
        <v>4.7</v>
      </c>
      <c r="H5" s="1">
        <f>IFERROR(__xludf.DUMMYFUNCTION("""COMPUTED_VALUE"""),4.9)</f>
        <v>4.9</v>
      </c>
      <c r="I5" s="1">
        <f>IFERROR(__xludf.DUMMYFUNCTION("""COMPUTED_VALUE"""),0.0)</f>
        <v>0</v>
      </c>
      <c r="J5" s="11">
        <f>IFERROR(__xludf.DUMMYFUNCTION("""COMPUTED_VALUE"""),4.5)</f>
        <v>4.5</v>
      </c>
      <c r="K5" s="11">
        <f>IFERROR(__xludf.DUMMYFUNCTION("""COMPUTED_VALUE"""),4.8)</f>
        <v>4.8</v>
      </c>
      <c r="L5" s="11">
        <f>IFERROR(__xludf.DUMMYFUNCTION("""COMPUTED_VALUE"""),4.8)</f>
        <v>4.8</v>
      </c>
      <c r="M5" s="11">
        <f>IFERROR(__xludf.DUMMYFUNCTION("""COMPUTED_VALUE"""),5.0)</f>
        <v>5</v>
      </c>
      <c r="N5" s="11">
        <f>IFERROR(__xludf.DUMMYFUNCTION("""COMPUTED_VALUE"""),2.4)</f>
        <v>2.4</v>
      </c>
      <c r="O5" s="11"/>
      <c r="P5" s="12">
        <f>IFERROR(__xludf.DUMMYFUNCTION("""COMPUTED_VALUE"""),4.2)</f>
        <v>4.2</v>
      </c>
      <c r="Q5" s="11"/>
      <c r="R5" s="11">
        <f>IFERROR(__xludf.DUMMYFUNCTION("""COMPUTED_VALUE"""),1.6)</f>
        <v>1.6</v>
      </c>
      <c r="S5" s="11">
        <f>IFERROR(__xludf.DUMMYFUNCTION("""COMPUTED_VALUE"""),2.5)</f>
        <v>2.5</v>
      </c>
      <c r="T5" s="11">
        <f>IFERROR(__xludf.DUMMYFUNCTION("""COMPUTED_VALUE"""),4.4)</f>
        <v>4.4</v>
      </c>
      <c r="U5" s="11">
        <f>IFERROR(__xludf.DUMMYFUNCTION("""COMPUTED_VALUE"""),4.0)</f>
        <v>4</v>
      </c>
      <c r="V5" s="11"/>
      <c r="W5" s="11"/>
      <c r="X5" s="11"/>
      <c r="Y5" s="11"/>
      <c r="Z5" s="15"/>
      <c r="AA5" s="15" t="str">
        <f>IFERROR(__xludf.DUMMYFUNCTION("""COMPUTED_VALUE"""),"U00186584")</f>
        <v>U00186584</v>
      </c>
    </row>
    <row r="6">
      <c r="A6" s="14">
        <v>5.0</v>
      </c>
      <c r="B6" s="14" t="s">
        <v>89</v>
      </c>
      <c r="C6" s="10">
        <f>IFERROR(__xludf.DUMMYFUNCTION("""COMPUTED_VALUE"""),2.4)</f>
        <v>2.4</v>
      </c>
      <c r="D6" s="11">
        <f>IFERROR(__xludf.DUMMYFUNCTION("""COMPUTED_VALUE"""),0.0)</f>
        <v>0</v>
      </c>
      <c r="E6" s="10">
        <f>IFERROR(__xludf.DUMMYFUNCTION("""COMPUTED_VALUE"""),1.6)</f>
        <v>1.6</v>
      </c>
      <c r="F6" s="11">
        <f>IFERROR(__xludf.DUMMYFUNCTION("""COMPUTED_VALUE"""),1.3)</f>
        <v>1.3</v>
      </c>
      <c r="G6" s="1">
        <f>IFERROR(__xludf.DUMMYFUNCTION("""COMPUTED_VALUE"""),0.0)</f>
        <v>0</v>
      </c>
      <c r="H6" s="1">
        <f>IFERROR(__xludf.DUMMYFUNCTION("""COMPUTED_VALUE"""),4.8)</f>
        <v>4.8</v>
      </c>
      <c r="I6" s="1">
        <f>IFERROR(__xludf.DUMMYFUNCTION("""COMPUTED_VALUE"""),4.8)</f>
        <v>4.8</v>
      </c>
      <c r="J6" s="11">
        <f>IFERROR(__xludf.DUMMYFUNCTION("""COMPUTED_VALUE"""),0.0)</f>
        <v>0</v>
      </c>
      <c r="K6" s="11">
        <f>IFERROR(__xludf.DUMMYFUNCTION("""COMPUTED_VALUE"""),0.0)</f>
        <v>0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/>
      <c r="O6" s="11"/>
      <c r="P6" s="11"/>
      <c r="Q6" s="11"/>
      <c r="R6" s="11"/>
      <c r="S6" s="11">
        <f>IFERROR(__xludf.DUMMYFUNCTION("""COMPUTED_VALUE"""),0.6)</f>
        <v>0.6</v>
      </c>
      <c r="T6" s="11"/>
      <c r="U6" s="11"/>
      <c r="V6" s="11"/>
      <c r="W6" s="11"/>
      <c r="X6" s="11"/>
      <c r="Y6" s="11"/>
      <c r="Z6" s="15"/>
      <c r="AA6" s="15" t="str">
        <f>IFERROR(__xludf.DUMMYFUNCTION("""COMPUTED_VALUE"""),"U00143077")</f>
        <v>U00143077</v>
      </c>
    </row>
    <row r="7">
      <c r="A7" s="14">
        <v>6.0</v>
      </c>
      <c r="B7" s="14" t="s">
        <v>90</v>
      </c>
      <c r="C7" s="10">
        <f>IFERROR(__xludf.DUMMYFUNCTION("""COMPUTED_VALUE"""),3.1)</f>
        <v>3.1</v>
      </c>
      <c r="D7" s="11">
        <f>IFERROR(__xludf.DUMMYFUNCTION("""COMPUTED_VALUE"""),2.4)</f>
        <v>2.4</v>
      </c>
      <c r="E7" s="10">
        <f>IFERROR(__xludf.DUMMYFUNCTION("""COMPUTED_VALUE"""),4.7)</f>
        <v>4.7</v>
      </c>
      <c r="F7" s="11">
        <f>IFERROR(__xludf.DUMMYFUNCTION("""COMPUTED_VALUE"""),3.3)</f>
        <v>3.3</v>
      </c>
      <c r="G7" s="1">
        <f>IFERROR(__xludf.DUMMYFUNCTION("""COMPUTED_VALUE"""),4.0)</f>
        <v>4</v>
      </c>
      <c r="H7" s="1">
        <f>IFERROR(__xludf.DUMMYFUNCTION("""COMPUTED_VALUE"""),4.5)</f>
        <v>4.5</v>
      </c>
      <c r="I7" s="1">
        <f>IFERROR(__xludf.DUMMYFUNCTION("""COMPUTED_VALUE"""),4.8)</f>
        <v>4.8</v>
      </c>
      <c r="J7" s="11">
        <f>IFERROR(__xludf.DUMMYFUNCTION("""COMPUTED_VALUE"""),4.8)</f>
        <v>4.8</v>
      </c>
      <c r="K7" s="11">
        <f>IFERROR(__xludf.DUMMYFUNCTION("""COMPUTED_VALUE"""),4.8)</f>
        <v>4.8</v>
      </c>
      <c r="L7" s="11">
        <f>IFERROR(__xludf.DUMMYFUNCTION("""COMPUTED_VALUE"""),4.8)</f>
        <v>4.8</v>
      </c>
      <c r="M7" s="11">
        <f>IFERROR(__xludf.DUMMYFUNCTION("""COMPUTED_VALUE"""),4.5)</f>
        <v>4.5</v>
      </c>
      <c r="N7" s="11">
        <f>IFERROR(__xludf.DUMMYFUNCTION("""COMPUTED_VALUE"""),0.2)</f>
        <v>0.2</v>
      </c>
      <c r="O7" s="11"/>
      <c r="P7" s="12">
        <f>IFERROR(__xludf.DUMMYFUNCTION("""COMPUTED_VALUE"""),2.4)</f>
        <v>2.4</v>
      </c>
      <c r="Q7" s="11"/>
      <c r="R7" s="11">
        <f>IFERROR(__xludf.DUMMYFUNCTION("""COMPUTED_VALUE"""),0.5)</f>
        <v>0.5</v>
      </c>
      <c r="S7" s="11">
        <f>IFERROR(__xludf.DUMMYFUNCTION("""COMPUTED_VALUE"""),1.9)</f>
        <v>1.9</v>
      </c>
      <c r="T7" s="11">
        <f>IFERROR(__xludf.DUMMYFUNCTION("""COMPUTED_VALUE"""),4.8)</f>
        <v>4.8</v>
      </c>
      <c r="U7" s="11">
        <f>IFERROR(__xludf.DUMMYFUNCTION("""COMPUTED_VALUE"""),0.0)</f>
        <v>0</v>
      </c>
      <c r="V7" s="11"/>
      <c r="W7" s="11"/>
      <c r="X7" s="11"/>
      <c r="Y7" s="11"/>
      <c r="Z7" s="15"/>
      <c r="AA7" s="15" t="str">
        <f>IFERROR(__xludf.DUMMYFUNCTION("""COMPUTED_VALUE"""),"U00189998")</f>
        <v>U00189998</v>
      </c>
    </row>
    <row r="8">
      <c r="A8" s="14">
        <v>7.0</v>
      </c>
      <c r="B8" s="14" t="s">
        <v>91</v>
      </c>
      <c r="C8" s="10">
        <f>IFERROR(__xludf.DUMMYFUNCTION("""COMPUTED_VALUE"""),3.1)</f>
        <v>3.1</v>
      </c>
      <c r="D8" s="11">
        <f>IFERROR(__xludf.DUMMYFUNCTION("""COMPUTED_VALUE"""),1.2)</f>
        <v>1.2</v>
      </c>
      <c r="E8" s="10">
        <f>IFERROR(__xludf.DUMMYFUNCTION("""COMPUTED_VALUE"""),4.7)</f>
        <v>4.7</v>
      </c>
      <c r="F8" s="11">
        <f>IFERROR(__xludf.DUMMYFUNCTION("""COMPUTED_VALUE"""),2.9)</f>
        <v>2.9</v>
      </c>
      <c r="G8" s="1">
        <f>IFERROR(__xludf.DUMMYFUNCTION("""COMPUTED_VALUE"""),4.3)</f>
        <v>4.3</v>
      </c>
      <c r="H8" s="1">
        <f>IFERROR(__xludf.DUMMYFUNCTION("""COMPUTED_VALUE"""),4.1)</f>
        <v>4.1</v>
      </c>
      <c r="I8" s="1">
        <f>IFERROR(__xludf.DUMMYFUNCTION("""COMPUTED_VALUE"""),4.6)</f>
        <v>4.6</v>
      </c>
      <c r="J8" s="11">
        <f>IFERROR(__xludf.DUMMYFUNCTION("""COMPUTED_VALUE"""),4.5)</f>
        <v>4.5</v>
      </c>
      <c r="K8" s="11">
        <f>IFERROR(__xludf.DUMMYFUNCTION("""COMPUTED_VALUE"""),4.5)</f>
        <v>4.5</v>
      </c>
      <c r="L8" s="11">
        <f>IFERROR(__xludf.DUMMYFUNCTION("""COMPUTED_VALUE"""),5.0)</f>
        <v>5</v>
      </c>
      <c r="M8" s="11">
        <f>IFERROR(__xludf.DUMMYFUNCTION("""COMPUTED_VALUE"""),5.0)</f>
        <v>5</v>
      </c>
      <c r="N8" s="11">
        <f>IFERROR(__xludf.DUMMYFUNCTION("""COMPUTED_VALUE"""),3.5)</f>
        <v>3.5</v>
      </c>
      <c r="O8" s="11"/>
      <c r="P8" s="12">
        <f>IFERROR(__xludf.DUMMYFUNCTION("""COMPUTED_VALUE"""),4.7)</f>
        <v>4.7</v>
      </c>
      <c r="Q8" s="11"/>
      <c r="R8" s="11">
        <f>IFERROR(__xludf.DUMMYFUNCTION("""COMPUTED_VALUE"""),2.0)</f>
        <v>2</v>
      </c>
      <c r="S8" s="11">
        <f>IFERROR(__xludf.DUMMYFUNCTION("""COMPUTED_VALUE"""),2.4)</f>
        <v>2.4</v>
      </c>
      <c r="T8" s="11">
        <f>IFERROR(__xludf.DUMMYFUNCTION("""COMPUTED_VALUE"""),4.8)</f>
        <v>4.8</v>
      </c>
      <c r="U8" s="11">
        <f>IFERROR(__xludf.DUMMYFUNCTION("""COMPUTED_VALUE"""),4.5)</f>
        <v>4.5</v>
      </c>
      <c r="V8" s="11"/>
      <c r="W8" s="11"/>
      <c r="X8" s="11"/>
      <c r="Y8" s="11"/>
      <c r="Z8" s="15"/>
      <c r="AA8" s="15" t="str">
        <f>IFERROR(__xludf.DUMMYFUNCTION("""COMPUTED_VALUE"""),"U00189341")</f>
        <v>U00189341</v>
      </c>
    </row>
    <row r="9">
      <c r="A9" s="14">
        <v>8.0</v>
      </c>
      <c r="B9" s="14" t="s">
        <v>92</v>
      </c>
      <c r="C9" s="10">
        <f>IFERROR(__xludf.DUMMYFUNCTION("""COMPUTED_VALUE"""),4.9)</f>
        <v>4.9</v>
      </c>
      <c r="D9" s="11">
        <f>IFERROR(__xludf.DUMMYFUNCTION("""COMPUTED_VALUE"""),2.2)</f>
        <v>2.2</v>
      </c>
      <c r="E9" s="10">
        <f>IFERROR(__xludf.DUMMYFUNCTION("""COMPUTED_VALUE"""),4.8)</f>
        <v>4.8</v>
      </c>
      <c r="F9" s="11">
        <f>IFERROR(__xludf.DUMMYFUNCTION("""COMPUTED_VALUE"""),3.9)</f>
        <v>3.9</v>
      </c>
      <c r="G9" s="1">
        <f>IFERROR(__xludf.DUMMYFUNCTION("""COMPUTED_VALUE"""),4.8)</f>
        <v>4.8</v>
      </c>
      <c r="H9" s="1">
        <f>IFERROR(__xludf.DUMMYFUNCTION("""COMPUTED_VALUE"""),4.4)</f>
        <v>4.4</v>
      </c>
      <c r="I9" s="1">
        <f>IFERROR(__xludf.DUMMYFUNCTION("""COMPUTED_VALUE"""),5.0)</f>
        <v>5</v>
      </c>
      <c r="J9" s="11">
        <f>IFERROR(__xludf.DUMMYFUNCTION("""COMPUTED_VALUE"""),0.0)</f>
        <v>0</v>
      </c>
      <c r="K9" s="11">
        <f>IFERROR(__xludf.DUMMYFUNCTION("""COMPUTED_VALUE"""),4.9)</f>
        <v>4.9</v>
      </c>
      <c r="L9" s="11">
        <f>IFERROR(__xludf.DUMMYFUNCTION("""COMPUTED_VALUE"""),4.8)</f>
        <v>4.8</v>
      </c>
      <c r="M9" s="11">
        <f>IFERROR(__xludf.DUMMYFUNCTION("""COMPUTED_VALUE"""),5.0)</f>
        <v>5</v>
      </c>
      <c r="N9" s="11">
        <f>IFERROR(__xludf.DUMMYFUNCTION("""COMPUTED_VALUE"""),3.5)</f>
        <v>3.5</v>
      </c>
      <c r="O9" s="11"/>
      <c r="P9" s="12">
        <f>IFERROR(__xludf.DUMMYFUNCTION("""COMPUTED_VALUE"""),4.7)</f>
        <v>4.7</v>
      </c>
      <c r="Q9" s="11"/>
      <c r="R9" s="11">
        <f>IFERROR(__xludf.DUMMYFUNCTION("""COMPUTED_VALUE"""),2.0)</f>
        <v>2</v>
      </c>
      <c r="S9" s="11">
        <f>IFERROR(__xludf.DUMMYFUNCTION("""COMPUTED_VALUE"""),2.9)</f>
        <v>2.9</v>
      </c>
      <c r="T9" s="11">
        <f>IFERROR(__xludf.DUMMYFUNCTION("""COMPUTED_VALUE"""),4.8)</f>
        <v>4.8</v>
      </c>
      <c r="U9" s="11">
        <f>IFERROR(__xludf.DUMMYFUNCTION("""COMPUTED_VALUE"""),4.5)</f>
        <v>4.5</v>
      </c>
      <c r="V9" s="11"/>
      <c r="W9" s="11"/>
      <c r="X9" s="11"/>
      <c r="Y9" s="11"/>
      <c r="Z9" s="15"/>
      <c r="AA9" s="15" t="str">
        <f>IFERROR(__xludf.DUMMYFUNCTION("""COMPUTED_VALUE"""),"U00190156")</f>
        <v>U00190156</v>
      </c>
    </row>
    <row r="10">
      <c r="A10" s="14">
        <v>9.0</v>
      </c>
      <c r="B10" s="14" t="s">
        <v>73</v>
      </c>
      <c r="C10" s="10">
        <f>IFERROR(__xludf.DUMMYFUNCTION("""COMPUTED_VALUE"""),3.4)</f>
        <v>3.4</v>
      </c>
      <c r="D10" s="11">
        <f>IFERROR(__xludf.DUMMYFUNCTION("""COMPUTED_VALUE"""),2.4)</f>
        <v>2.4</v>
      </c>
      <c r="E10" s="10">
        <f>IFERROR(__xludf.DUMMYFUNCTION("""COMPUTED_VALUE"""),1.9)</f>
        <v>1.9</v>
      </c>
      <c r="F10" s="11">
        <f>IFERROR(__xludf.DUMMYFUNCTION("""COMPUTED_VALUE"""),2.6)</f>
        <v>2.6</v>
      </c>
      <c r="G10" s="1">
        <f>IFERROR(__xludf.DUMMYFUNCTION("""COMPUTED_VALUE"""),4.7)</f>
        <v>4.7</v>
      </c>
      <c r="H10" s="1">
        <f>IFERROR(__xludf.DUMMYFUNCTION("""COMPUTED_VALUE"""),3.6)</f>
        <v>3.6</v>
      </c>
      <c r="I10" s="1">
        <f>IFERROR(__xludf.DUMMYFUNCTION("""COMPUTED_VALUE"""),0.0)</f>
        <v>0</v>
      </c>
      <c r="J10" s="11">
        <f>IFERROR(__xludf.DUMMYFUNCTION("""COMPUTED_VALUE"""),0.0)</f>
        <v>0</v>
      </c>
      <c r="K10" s="11">
        <f>IFERROR(__xludf.DUMMYFUNCTION("""COMPUTED_VALUE"""),0.0)</f>
        <v>0</v>
      </c>
      <c r="L10" s="11">
        <f>IFERROR(__xludf.DUMMYFUNCTION("""COMPUTED_VALUE"""),0.0)</f>
        <v>0</v>
      </c>
      <c r="M10" s="11">
        <f>IFERROR(__xludf.DUMMYFUNCTION("""COMPUTED_VALUE"""),3.0)</f>
        <v>3</v>
      </c>
      <c r="N10" s="11">
        <f>IFERROR(__xludf.DUMMYFUNCTION("""COMPUTED_VALUE"""),3.4)</f>
        <v>3.4</v>
      </c>
      <c r="O10" s="11"/>
      <c r="P10" s="12">
        <f>IFERROR(__xludf.DUMMYFUNCTION("""COMPUTED_VALUE"""),2.1)</f>
        <v>2.1</v>
      </c>
      <c r="Q10" s="11"/>
      <c r="R10" s="11">
        <f>IFERROR(__xludf.DUMMYFUNCTION("""COMPUTED_VALUE"""),1.4)</f>
        <v>1.4</v>
      </c>
      <c r="S10" s="11">
        <f>IFERROR(__xludf.DUMMYFUNCTION("""COMPUTED_VALUE"""),2.0)</f>
        <v>2</v>
      </c>
      <c r="T10" s="11">
        <f>IFERROR(__xludf.DUMMYFUNCTION("""COMPUTED_VALUE"""),4.2)</f>
        <v>4.2</v>
      </c>
      <c r="U10" s="11">
        <f>IFERROR(__xludf.DUMMYFUNCTION("""COMPUTED_VALUE"""),0.0)</f>
        <v>0</v>
      </c>
      <c r="V10" s="11"/>
      <c r="W10" s="11"/>
      <c r="X10" s="11"/>
      <c r="Y10" s="11"/>
      <c r="Z10" s="15"/>
      <c r="AA10" s="15" t="str">
        <f>IFERROR(__xludf.DUMMYFUNCTION("""COMPUTED_VALUE"""),"U00186154")</f>
        <v>U00186154</v>
      </c>
    </row>
    <row r="11">
      <c r="A11" s="14">
        <v>10.0</v>
      </c>
      <c r="B11" s="14" t="s">
        <v>93</v>
      </c>
      <c r="C11" s="10">
        <f>IFERROR(__xludf.DUMMYFUNCTION("""COMPUTED_VALUE"""),5.0)</f>
        <v>5</v>
      </c>
      <c r="D11" s="11">
        <f>IFERROR(__xludf.DUMMYFUNCTION("""COMPUTED_VALUE"""),5.0)</f>
        <v>5</v>
      </c>
      <c r="E11" s="10">
        <f>IFERROR(__xludf.DUMMYFUNCTION("""COMPUTED_VALUE"""),4.6)</f>
        <v>4.6</v>
      </c>
      <c r="F11" s="11">
        <f>IFERROR(__xludf.DUMMYFUNCTION("""COMPUTED_VALUE"""),4.9)</f>
        <v>4.9</v>
      </c>
      <c r="G11" s="1">
        <f>IFERROR(__xludf.DUMMYFUNCTION("""COMPUTED_VALUE"""),4.0)</f>
        <v>4</v>
      </c>
      <c r="H11" s="1">
        <f>IFERROR(__xludf.DUMMYFUNCTION("""COMPUTED_VALUE"""),5.0)</f>
        <v>5</v>
      </c>
      <c r="I11" s="1">
        <f>IFERROR(__xludf.DUMMYFUNCTION("""COMPUTED_VALUE"""),0.0)</f>
        <v>0</v>
      </c>
      <c r="J11" s="11">
        <f>IFERROR(__xludf.DUMMYFUNCTION("""COMPUTED_VALUE"""),5.0)</f>
        <v>5</v>
      </c>
      <c r="K11" s="11">
        <f>IFERROR(__xludf.DUMMYFUNCTION("""COMPUTED_VALUE"""),4.6)</f>
        <v>4.6</v>
      </c>
      <c r="L11" s="11">
        <f>IFERROR(__xludf.DUMMYFUNCTION("""COMPUTED_VALUE"""),3.9)</f>
        <v>3.9</v>
      </c>
      <c r="M11" s="11">
        <f>IFERROR(__xludf.DUMMYFUNCTION("""COMPUTED_VALUE"""),5.0)</f>
        <v>5</v>
      </c>
      <c r="N11" s="11">
        <f>IFERROR(__xludf.DUMMYFUNCTION("""COMPUTED_VALUE"""),4.7)</f>
        <v>4.7</v>
      </c>
      <c r="O11" s="11"/>
      <c r="P11" s="12">
        <f>IFERROR(__xludf.DUMMYFUNCTION("""COMPUTED_VALUE"""),4.7)</f>
        <v>4.7</v>
      </c>
      <c r="Q11" s="11"/>
      <c r="R11" s="11">
        <f>IFERROR(__xludf.DUMMYFUNCTION("""COMPUTED_VALUE"""),2.4)</f>
        <v>2.4</v>
      </c>
      <c r="S11" s="11">
        <f>IFERROR(__xludf.DUMMYFUNCTION("""COMPUTED_VALUE"""),3.6)</f>
        <v>3.6</v>
      </c>
      <c r="T11" s="11">
        <f>IFERROR(__xludf.DUMMYFUNCTION("""COMPUTED_VALUE"""),4.3)</f>
        <v>4.3</v>
      </c>
      <c r="U11" s="11">
        <f>IFERROR(__xludf.DUMMYFUNCTION("""COMPUTED_VALUE"""),5.0)</f>
        <v>5</v>
      </c>
      <c r="V11" s="11"/>
      <c r="W11" s="11"/>
      <c r="X11" s="11"/>
      <c r="Y11" s="11"/>
      <c r="Z11" s="15"/>
      <c r="AA11" s="15" t="str">
        <f>IFERROR(__xludf.DUMMYFUNCTION("""COMPUTED_VALUE"""),"U00171125")</f>
        <v>U00171125</v>
      </c>
    </row>
    <row r="12">
      <c r="A12" s="14">
        <v>11.0</v>
      </c>
      <c r="B12" s="14" t="s">
        <v>94</v>
      </c>
      <c r="C12" s="10">
        <f>IFERROR(__xludf.DUMMYFUNCTION("""COMPUTED_VALUE"""),4.2)</f>
        <v>4.2</v>
      </c>
      <c r="D12" s="11">
        <f>IFERROR(__xludf.DUMMYFUNCTION("""COMPUTED_VALUE"""),4.0)</f>
        <v>4</v>
      </c>
      <c r="E12" s="10">
        <f>IFERROR(__xludf.DUMMYFUNCTION("""COMPUTED_VALUE"""),4.8)</f>
        <v>4.8</v>
      </c>
      <c r="F12" s="11">
        <f>IFERROR(__xludf.DUMMYFUNCTION("""COMPUTED_VALUE"""),4.3)</f>
        <v>4.3</v>
      </c>
      <c r="G12" s="1">
        <f>IFERROR(__xludf.DUMMYFUNCTION("""COMPUTED_VALUE"""),4.8)</f>
        <v>4.8</v>
      </c>
      <c r="H12" s="1">
        <f>IFERROR(__xludf.DUMMYFUNCTION("""COMPUTED_VALUE"""),0.0)</f>
        <v>0</v>
      </c>
      <c r="I12" s="1">
        <f>IFERROR(__xludf.DUMMYFUNCTION("""COMPUTED_VALUE"""),5.0)</f>
        <v>5</v>
      </c>
      <c r="J12" s="11">
        <f>IFERROR(__xludf.DUMMYFUNCTION("""COMPUTED_VALUE"""),4.8)</f>
        <v>4.8</v>
      </c>
      <c r="K12" s="11">
        <f>IFERROR(__xludf.DUMMYFUNCTION("""COMPUTED_VALUE"""),4.5)</f>
        <v>4.5</v>
      </c>
      <c r="L12" s="11">
        <f>IFERROR(__xludf.DUMMYFUNCTION("""COMPUTED_VALUE"""),4.8)</f>
        <v>4.8</v>
      </c>
      <c r="M12" s="11">
        <f>IFERROR(__xludf.DUMMYFUNCTION("""COMPUTED_VALUE"""),5.0)</f>
        <v>5</v>
      </c>
      <c r="N12" s="11">
        <f>IFERROR(__xludf.DUMMYFUNCTION("""COMPUTED_VALUE"""),3.5)</f>
        <v>3.5</v>
      </c>
      <c r="O12" s="11"/>
      <c r="P12" s="12">
        <f>IFERROR(__xludf.DUMMYFUNCTION("""COMPUTED_VALUE"""),4.5)</f>
        <v>4.5</v>
      </c>
      <c r="Q12" s="11"/>
      <c r="R12" s="11">
        <f>IFERROR(__xludf.DUMMYFUNCTION("""COMPUTED_VALUE"""),2.0)</f>
        <v>2</v>
      </c>
      <c r="S12" s="11">
        <f>IFERROR(__xludf.DUMMYFUNCTION("""COMPUTED_VALUE"""),3.1)</f>
        <v>3.1</v>
      </c>
      <c r="T12" s="11">
        <f>IFERROR(__xludf.DUMMYFUNCTION("""COMPUTED_VALUE"""),4.5)</f>
        <v>4.5</v>
      </c>
      <c r="U12" s="11">
        <f>IFERROR(__xludf.DUMMYFUNCTION("""COMPUTED_VALUE"""),4.5)</f>
        <v>4.5</v>
      </c>
      <c r="V12" s="11"/>
      <c r="W12" s="11"/>
      <c r="X12" s="11"/>
      <c r="Y12" s="11"/>
      <c r="Z12" s="15"/>
      <c r="AA12" s="15" t="str">
        <f>IFERROR(__xludf.DUMMYFUNCTION("""COMPUTED_VALUE"""),"U00189659")</f>
        <v>U00189659</v>
      </c>
    </row>
    <row r="13">
      <c r="A13" s="14">
        <v>12.0</v>
      </c>
      <c r="B13" s="14" t="s">
        <v>95</v>
      </c>
      <c r="C13" s="10">
        <f>IFERROR(__xludf.DUMMYFUNCTION("""COMPUTED_VALUE"""),5.0)</f>
        <v>5</v>
      </c>
      <c r="D13" s="11">
        <f>IFERROR(__xludf.DUMMYFUNCTION("""COMPUTED_VALUE"""),3.5)</f>
        <v>3.5</v>
      </c>
      <c r="E13" s="10">
        <f>IFERROR(__xludf.DUMMYFUNCTION("""COMPUTED_VALUE"""),3.2)</f>
        <v>3.2</v>
      </c>
      <c r="F13" s="11">
        <f>IFERROR(__xludf.DUMMYFUNCTION("""COMPUTED_VALUE"""),3.9)</f>
        <v>3.9</v>
      </c>
      <c r="G13" s="1">
        <f>IFERROR(__xludf.DUMMYFUNCTION("""COMPUTED_VALUE"""),4.9)</f>
        <v>4.9</v>
      </c>
      <c r="H13" s="1">
        <f>IFERROR(__xludf.DUMMYFUNCTION("""COMPUTED_VALUE"""),4.8)</f>
        <v>4.8</v>
      </c>
      <c r="I13" s="1">
        <f>IFERROR(__xludf.DUMMYFUNCTION("""COMPUTED_VALUE"""),0.0)</f>
        <v>0</v>
      </c>
      <c r="J13" s="11">
        <f>IFERROR(__xludf.DUMMYFUNCTION("""COMPUTED_VALUE"""),4.5)</f>
        <v>4.5</v>
      </c>
      <c r="K13" s="11">
        <f>IFERROR(__xludf.DUMMYFUNCTION("""COMPUTED_VALUE"""),0.0)</f>
        <v>0</v>
      </c>
      <c r="L13" s="11">
        <f>IFERROR(__xludf.DUMMYFUNCTION("""COMPUTED_VALUE"""),0.0)</f>
        <v>0</v>
      </c>
      <c r="M13" s="11">
        <f>IFERROR(__xludf.DUMMYFUNCTION("""COMPUTED_VALUE"""),5.0)</f>
        <v>5</v>
      </c>
      <c r="N13" s="11">
        <f>IFERROR(__xludf.DUMMYFUNCTION("""COMPUTED_VALUE"""),2.3)</f>
        <v>2.3</v>
      </c>
      <c r="O13" s="11"/>
      <c r="P13" s="12">
        <f>IFERROR(__xludf.DUMMYFUNCTION("""COMPUTED_VALUE"""),4.7)</f>
        <v>4.7</v>
      </c>
      <c r="Q13" s="11"/>
      <c r="R13" s="11">
        <f>IFERROR(__xludf.DUMMYFUNCTION("""COMPUTED_VALUE"""),1.6)</f>
        <v>1.6</v>
      </c>
      <c r="S13" s="11">
        <f>IFERROR(__xludf.DUMMYFUNCTION("""COMPUTED_VALUE"""),2.7)</f>
        <v>2.7</v>
      </c>
      <c r="T13" s="11">
        <f>IFERROR(__xludf.DUMMYFUNCTION("""COMPUTED_VALUE"""),5.0)</f>
        <v>5</v>
      </c>
      <c r="U13" s="11">
        <f>IFERROR(__xludf.DUMMYFUNCTION("""COMPUTED_VALUE"""),4.3)</f>
        <v>4.3</v>
      </c>
      <c r="V13" s="11"/>
      <c r="W13" s="11"/>
      <c r="X13" s="11"/>
      <c r="Y13" s="11"/>
      <c r="Z13" s="15"/>
      <c r="AA13" s="15" t="str">
        <f>IFERROR(__xludf.DUMMYFUNCTION("""COMPUTED_VALUE"""),"U00189679")</f>
        <v>U00189679</v>
      </c>
    </row>
    <row r="14">
      <c r="A14" s="14">
        <v>13.0</v>
      </c>
      <c r="B14" s="14" t="s">
        <v>96</v>
      </c>
      <c r="C14" s="10">
        <f>IFERROR(__xludf.DUMMYFUNCTION("""COMPUTED_VALUE"""),4.0)</f>
        <v>4</v>
      </c>
      <c r="D14" s="11">
        <f>IFERROR(__xludf.DUMMYFUNCTION("""COMPUTED_VALUE"""),4.1)</f>
        <v>4.1</v>
      </c>
      <c r="E14" s="10">
        <f>IFERROR(__xludf.DUMMYFUNCTION("""COMPUTED_VALUE"""),4.3)</f>
        <v>4.3</v>
      </c>
      <c r="F14" s="11">
        <f>IFERROR(__xludf.DUMMYFUNCTION("""COMPUTED_VALUE"""),4.1)</f>
        <v>4.1</v>
      </c>
      <c r="G14" s="1">
        <f>IFERROR(__xludf.DUMMYFUNCTION("""COMPUTED_VALUE"""),4.0)</f>
        <v>4</v>
      </c>
      <c r="H14" s="1">
        <f>IFERROR(__xludf.DUMMYFUNCTION("""COMPUTED_VALUE"""),3.5)</f>
        <v>3.5</v>
      </c>
      <c r="I14" s="1">
        <f>IFERROR(__xludf.DUMMYFUNCTION("""COMPUTED_VALUE"""),4.3)</f>
        <v>4.3</v>
      </c>
      <c r="J14" s="11">
        <f>IFERROR(__xludf.DUMMYFUNCTION("""COMPUTED_VALUE"""),4.4)</f>
        <v>4.4</v>
      </c>
      <c r="K14" s="11">
        <f>IFERROR(__xludf.DUMMYFUNCTION("""COMPUTED_VALUE"""),3.9)</f>
        <v>3.9</v>
      </c>
      <c r="L14" s="11">
        <f>IFERROR(__xludf.DUMMYFUNCTION("""COMPUTED_VALUE"""),4.4)</f>
        <v>4.4</v>
      </c>
      <c r="M14" s="11">
        <f>IFERROR(__xludf.DUMMYFUNCTION("""COMPUTED_VALUE"""),4.5)</f>
        <v>4.5</v>
      </c>
      <c r="N14" s="11">
        <f>IFERROR(__xludf.DUMMYFUNCTION("""COMPUTED_VALUE"""),3.9)</f>
        <v>3.9</v>
      </c>
      <c r="O14" s="11"/>
      <c r="P14" s="12">
        <f>IFERROR(__xludf.DUMMYFUNCTION("""COMPUTED_VALUE"""),4.4)</f>
        <v>4.4</v>
      </c>
      <c r="Q14" s="11"/>
      <c r="R14" s="11">
        <f>IFERROR(__xludf.DUMMYFUNCTION("""COMPUTED_VALUE"""),2.1)</f>
        <v>2.1</v>
      </c>
      <c r="S14" s="11">
        <f>IFERROR(__xludf.DUMMYFUNCTION("""COMPUTED_VALUE"""),3.1)</f>
        <v>3.1</v>
      </c>
      <c r="T14" s="11">
        <f>IFERROR(__xludf.DUMMYFUNCTION("""COMPUTED_VALUE"""),4.4)</f>
        <v>4.4</v>
      </c>
      <c r="U14" s="11">
        <f>IFERROR(__xludf.DUMMYFUNCTION("""COMPUTED_VALUE"""),4.3)</f>
        <v>4.3</v>
      </c>
      <c r="V14" s="11"/>
      <c r="W14" s="11"/>
      <c r="X14" s="11"/>
      <c r="Y14" s="11"/>
      <c r="Z14" s="15"/>
      <c r="AA14" s="15" t="str">
        <f>IFERROR(__xludf.DUMMYFUNCTION("""COMPUTED_VALUE"""),"U00189517")</f>
        <v>U00189517</v>
      </c>
    </row>
    <row r="15">
      <c r="A15" s="14">
        <v>14.0</v>
      </c>
      <c r="B15" s="14" t="s">
        <v>97</v>
      </c>
      <c r="C15" s="10">
        <f>IFERROR(__xludf.DUMMYFUNCTION("""COMPUTED_VALUE"""),3.1)</f>
        <v>3.1</v>
      </c>
      <c r="D15" s="11">
        <f>IFERROR(__xludf.DUMMYFUNCTION("""COMPUTED_VALUE"""),3.9)</f>
        <v>3.9</v>
      </c>
      <c r="E15" s="10">
        <f>IFERROR(__xludf.DUMMYFUNCTION("""COMPUTED_VALUE"""),4.6)</f>
        <v>4.6</v>
      </c>
      <c r="F15" s="11">
        <f>IFERROR(__xludf.DUMMYFUNCTION("""COMPUTED_VALUE"""),3.8)</f>
        <v>3.8</v>
      </c>
      <c r="G15" s="1">
        <f>IFERROR(__xludf.DUMMYFUNCTION("""COMPUTED_VALUE"""),4.8)</f>
        <v>4.8</v>
      </c>
      <c r="H15" s="1">
        <f>IFERROR(__xludf.DUMMYFUNCTION("""COMPUTED_VALUE"""),4.4)</f>
        <v>4.4</v>
      </c>
      <c r="I15" s="1">
        <f>IFERROR(__xludf.DUMMYFUNCTION("""COMPUTED_VALUE"""),4.5)</f>
        <v>4.5</v>
      </c>
      <c r="J15" s="11">
        <f>IFERROR(__xludf.DUMMYFUNCTION("""COMPUTED_VALUE"""),4.3)</f>
        <v>4.3</v>
      </c>
      <c r="K15" s="11">
        <f>IFERROR(__xludf.DUMMYFUNCTION("""COMPUTED_VALUE"""),4.0)</f>
        <v>4</v>
      </c>
      <c r="L15" s="11">
        <f>IFERROR(__xludf.DUMMYFUNCTION("""COMPUTED_VALUE"""),4.5)</f>
        <v>4.5</v>
      </c>
      <c r="M15" s="11">
        <f>IFERROR(__xludf.DUMMYFUNCTION("""COMPUTED_VALUE"""),5.0)</f>
        <v>5</v>
      </c>
      <c r="N15" s="11">
        <f>IFERROR(__xludf.DUMMYFUNCTION("""COMPUTED_VALUE"""),2.4)</f>
        <v>2.4</v>
      </c>
      <c r="O15" s="11"/>
      <c r="P15" s="12">
        <f>IFERROR(__xludf.DUMMYFUNCTION("""COMPUTED_VALUE"""),2.2)</f>
        <v>2.2</v>
      </c>
      <c r="Q15" s="11"/>
      <c r="R15" s="11">
        <f>IFERROR(__xludf.DUMMYFUNCTION("""COMPUTED_VALUE"""),1.2)</f>
        <v>1.2</v>
      </c>
      <c r="S15" s="11">
        <f>IFERROR(__xludf.DUMMYFUNCTION("""COMPUTED_VALUE"""),2.5)</f>
        <v>2.5</v>
      </c>
      <c r="T15" s="11">
        <f>IFERROR(__xludf.DUMMYFUNCTION("""COMPUTED_VALUE"""),0.0)</f>
        <v>0</v>
      </c>
      <c r="U15" s="11">
        <f>IFERROR(__xludf.DUMMYFUNCTION("""COMPUTED_VALUE"""),4.3)</f>
        <v>4.3</v>
      </c>
      <c r="V15" s="11"/>
      <c r="W15" s="11"/>
      <c r="X15" s="11"/>
      <c r="Y15" s="11"/>
      <c r="Z15" s="15"/>
      <c r="AA15" s="15" t="str">
        <f>IFERROR(__xludf.DUMMYFUNCTION("""COMPUTED_VALUE"""),"U00188432")</f>
        <v>U00188432</v>
      </c>
    </row>
    <row r="16">
      <c r="A16" s="14">
        <v>15.0</v>
      </c>
      <c r="B16" s="14" t="s">
        <v>98</v>
      </c>
      <c r="C16" s="10">
        <f>IFERROR(__xludf.DUMMYFUNCTION("""COMPUTED_VALUE"""),3.7)</f>
        <v>3.7</v>
      </c>
      <c r="D16" s="11">
        <f>IFERROR(__xludf.DUMMYFUNCTION("""COMPUTED_VALUE"""),2.6)</f>
        <v>2.6</v>
      </c>
      <c r="E16" s="10">
        <f>IFERROR(__xludf.DUMMYFUNCTION("""COMPUTED_VALUE"""),2.2)</f>
        <v>2.2</v>
      </c>
      <c r="F16" s="11">
        <f>IFERROR(__xludf.DUMMYFUNCTION("""COMPUTED_VALUE"""),2.9)</f>
        <v>2.9</v>
      </c>
      <c r="G16" s="1">
        <f>IFERROR(__xludf.DUMMYFUNCTION("""COMPUTED_VALUE"""),4.9)</f>
        <v>4.9</v>
      </c>
      <c r="H16" s="1">
        <f>IFERROR(__xludf.DUMMYFUNCTION("""COMPUTED_VALUE"""),0.0)</f>
        <v>0</v>
      </c>
      <c r="I16" s="1">
        <f>IFERROR(__xludf.DUMMYFUNCTION("""COMPUTED_VALUE"""),5.0)</f>
        <v>5</v>
      </c>
      <c r="J16" s="11">
        <f>IFERROR(__xludf.DUMMYFUNCTION("""COMPUTED_VALUE"""),0.0)</f>
        <v>0</v>
      </c>
      <c r="K16" s="11">
        <f>IFERROR(__xludf.DUMMYFUNCTION("""COMPUTED_VALUE"""),0.0)</f>
        <v>0</v>
      </c>
      <c r="L16" s="11">
        <f>IFERROR(__xludf.DUMMYFUNCTION("""COMPUTED_VALUE"""),0.0)</f>
        <v>0</v>
      </c>
      <c r="M16" s="11">
        <f>IFERROR(__xludf.DUMMYFUNCTION("""COMPUTED_VALUE"""),3.0)</f>
        <v>3</v>
      </c>
      <c r="N16" s="11">
        <f>IFERROR(__xludf.DUMMYFUNCTION("""COMPUTED_VALUE"""),3.4)</f>
        <v>3.4</v>
      </c>
      <c r="O16" s="11"/>
      <c r="P16" s="12">
        <f>IFERROR(__xludf.DUMMYFUNCTION("""COMPUTED_VALUE"""),2.1)</f>
        <v>2.1</v>
      </c>
      <c r="Q16" s="11"/>
      <c r="R16" s="11">
        <f>IFERROR(__xludf.DUMMYFUNCTION("""COMPUTED_VALUE"""),1.4)</f>
        <v>1.4</v>
      </c>
      <c r="S16" s="11">
        <f>IFERROR(__xludf.DUMMYFUNCTION("""COMPUTED_VALUE"""),2.1)</f>
        <v>2.1</v>
      </c>
      <c r="T16" s="11">
        <f>IFERROR(__xludf.DUMMYFUNCTION("""COMPUTED_VALUE"""),4.2)</f>
        <v>4.2</v>
      </c>
      <c r="U16" s="11">
        <f>IFERROR(__xludf.DUMMYFUNCTION("""COMPUTED_VALUE"""),0.0)</f>
        <v>0</v>
      </c>
      <c r="V16" s="11"/>
      <c r="W16" s="11"/>
      <c r="X16" s="11"/>
      <c r="Y16" s="11"/>
      <c r="Z16" s="15"/>
      <c r="AA16" s="15" t="str">
        <f>IFERROR(__xludf.DUMMYFUNCTION("""COMPUTED_VALUE"""),"U00145546")</f>
        <v>U00145546</v>
      </c>
    </row>
    <row r="17">
      <c r="A17" s="14">
        <v>16.0</v>
      </c>
      <c r="B17" s="14" t="s">
        <v>99</v>
      </c>
      <c r="C17" s="10">
        <f>IFERROR(__xludf.DUMMYFUNCTION("""COMPUTED_VALUE"""),3.3)</f>
        <v>3.3</v>
      </c>
      <c r="D17" s="11">
        <f>IFERROR(__xludf.DUMMYFUNCTION("""COMPUTED_VALUE"""),3.8)</f>
        <v>3.8</v>
      </c>
      <c r="E17" s="10">
        <f>IFERROR(__xludf.DUMMYFUNCTION("""COMPUTED_VALUE"""),4.5)</f>
        <v>4.5</v>
      </c>
      <c r="F17" s="11">
        <f>IFERROR(__xludf.DUMMYFUNCTION("""COMPUTED_VALUE"""),3.8)</f>
        <v>3.8</v>
      </c>
      <c r="G17" s="1">
        <f>IFERROR(__xludf.DUMMYFUNCTION("""COMPUTED_VALUE"""),4.5)</f>
        <v>4.5</v>
      </c>
      <c r="H17" s="1">
        <f>IFERROR(__xludf.DUMMYFUNCTION("""COMPUTED_VALUE"""),4.8)</f>
        <v>4.8</v>
      </c>
      <c r="I17" s="1">
        <f>IFERROR(__xludf.DUMMYFUNCTION("""COMPUTED_VALUE"""),0.0)</f>
        <v>0</v>
      </c>
      <c r="J17" s="11">
        <f>IFERROR(__xludf.DUMMYFUNCTION("""COMPUTED_VALUE"""),4.5)</f>
        <v>4.5</v>
      </c>
      <c r="K17" s="11">
        <f>IFERROR(__xludf.DUMMYFUNCTION("""COMPUTED_VALUE"""),4.0)</f>
        <v>4</v>
      </c>
      <c r="L17" s="11">
        <f>IFERROR(__xludf.DUMMYFUNCTION("""COMPUTED_VALUE"""),5.0)</f>
        <v>5</v>
      </c>
      <c r="M17" s="11">
        <f>IFERROR(__xludf.DUMMYFUNCTION("""COMPUTED_VALUE"""),4.0)</f>
        <v>4</v>
      </c>
      <c r="N17" s="11">
        <f>IFERROR(__xludf.DUMMYFUNCTION("""COMPUTED_VALUE"""),3.6)</f>
        <v>3.6</v>
      </c>
      <c r="O17" s="11"/>
      <c r="P17" s="12">
        <f>IFERROR(__xludf.DUMMYFUNCTION("""COMPUTED_VALUE"""),0.7)</f>
        <v>0.7</v>
      </c>
      <c r="Q17" s="11"/>
      <c r="R17" s="11">
        <f>IFERROR(__xludf.DUMMYFUNCTION("""COMPUTED_VALUE"""),1.2)</f>
        <v>1.2</v>
      </c>
      <c r="S17" s="11">
        <f>IFERROR(__xludf.DUMMYFUNCTION("""COMPUTED_VALUE"""),2.5)</f>
        <v>2.5</v>
      </c>
      <c r="T17" s="11">
        <f>IFERROR(__xludf.DUMMYFUNCTION("""COMPUTED_VALUE"""),1.3)</f>
        <v>1.3</v>
      </c>
      <c r="U17" s="11">
        <f>IFERROR(__xludf.DUMMYFUNCTION("""COMPUTED_VALUE"""),0.0)</f>
        <v>0</v>
      </c>
      <c r="V17" s="11"/>
      <c r="W17" s="11"/>
      <c r="X17" s="11"/>
      <c r="Y17" s="11"/>
      <c r="Z17" s="15"/>
      <c r="AA17" s="15" t="str">
        <f>IFERROR(__xludf.DUMMYFUNCTION("""COMPUTED_VALUE"""),"U00170700")</f>
        <v>U00170700</v>
      </c>
    </row>
    <row r="18">
      <c r="A18" s="14">
        <v>17.0</v>
      </c>
      <c r="B18" s="14" t="s">
        <v>100</v>
      </c>
      <c r="C18" s="10">
        <f>IFERROR(__xludf.DUMMYFUNCTION("""COMPUTED_VALUE"""),3.8)</f>
        <v>3.8</v>
      </c>
      <c r="D18" s="11">
        <f>IFERROR(__xludf.DUMMYFUNCTION("""COMPUTED_VALUE"""),2.5)</f>
        <v>2.5</v>
      </c>
      <c r="E18" s="10">
        <f>IFERROR(__xludf.DUMMYFUNCTION("""COMPUTED_VALUE"""),5.0)</f>
        <v>5</v>
      </c>
      <c r="F18" s="11">
        <f>IFERROR(__xludf.DUMMYFUNCTION("""COMPUTED_VALUE"""),3.7)</f>
        <v>3.7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IFERROR(__xludf.DUMMYFUNCTION("""COMPUTED_VALUE"""),5.0)</f>
        <v>5</v>
      </c>
      <c r="J18" s="11">
        <f>IFERROR(__xludf.DUMMYFUNCTION("""COMPUTED_VALUE"""),5.0)</f>
        <v>5</v>
      </c>
      <c r="K18" s="11">
        <f>IFERROR(__xludf.DUMMYFUNCTION("""COMPUTED_VALUE"""),5.0)</f>
        <v>5</v>
      </c>
      <c r="L18" s="11">
        <f>IFERROR(__xludf.DUMMYFUNCTION("""COMPUTED_VALUE"""),4.8)</f>
        <v>4.8</v>
      </c>
      <c r="M18" s="11">
        <f>IFERROR(__xludf.DUMMYFUNCTION("""COMPUTED_VALUE"""),5.0)</f>
        <v>5</v>
      </c>
      <c r="N18" s="11">
        <f>IFERROR(__xludf.DUMMYFUNCTION("""COMPUTED_VALUE"""),2.4)</f>
        <v>2.4</v>
      </c>
      <c r="O18" s="11"/>
      <c r="P18" s="12">
        <f>IFERROR(__xludf.DUMMYFUNCTION("""COMPUTED_VALUE"""),0.0)</f>
        <v>0</v>
      </c>
      <c r="Q18" s="11"/>
      <c r="R18" s="11">
        <f>IFERROR(__xludf.DUMMYFUNCTION("""COMPUTED_VALUE"""),0.7)</f>
        <v>0.7</v>
      </c>
      <c r="S18" s="11">
        <f>IFERROR(__xludf.DUMMYFUNCTION("""COMPUTED_VALUE"""),2.2)</f>
        <v>2.2</v>
      </c>
      <c r="T18" s="11">
        <f>IFERROR(__xludf.DUMMYFUNCTION("""COMPUTED_VALUE"""),0.0)</f>
        <v>0</v>
      </c>
      <c r="U18" s="11">
        <f>IFERROR(__xludf.DUMMYFUNCTION("""COMPUTED_VALUE"""),0.0)</f>
        <v>0</v>
      </c>
      <c r="V18" s="11"/>
      <c r="W18" s="11"/>
      <c r="X18" s="11"/>
      <c r="Y18" s="11"/>
      <c r="Z18" s="15"/>
      <c r="AA18" s="15" t="str">
        <f>IFERROR(__xludf.DUMMYFUNCTION("""COMPUTED_VALUE"""),"U00194322")</f>
        <v>U00194322</v>
      </c>
    </row>
    <row r="19">
      <c r="A19" s="14">
        <v>18.0</v>
      </c>
      <c r="B19" s="14" t="s">
        <v>101</v>
      </c>
      <c r="C19" s="10">
        <f>IFERROR(__xludf.DUMMYFUNCTION("""COMPUTED_VALUE"""),0.3)</f>
        <v>0.3</v>
      </c>
      <c r="D19" s="11">
        <f>IFERROR(__xludf.DUMMYFUNCTION("""COMPUTED_VALUE"""),0.3)</f>
        <v>0.3</v>
      </c>
      <c r="E19" s="10">
        <f>IFERROR(__xludf.DUMMYFUNCTION("""COMPUTED_VALUE"""),1.7)</f>
        <v>1.7</v>
      </c>
      <c r="F19" s="11">
        <f>IFERROR(__xludf.DUMMYFUNCTION("""COMPUTED_VALUE"""),0.7)</f>
        <v>0.7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1">
        <f>IFERROR(__xludf.DUMMYFUNCTION("""COMPUTED_VALUE"""),0.0)</f>
        <v>0</v>
      </c>
      <c r="K19" s="11">
        <f>IFERROR(__xludf.DUMMYFUNCTION("""COMPUTED_VALUE"""),0.0)</f>
        <v>0</v>
      </c>
      <c r="L19" s="11">
        <f>IFERROR(__xludf.DUMMYFUNCTION("""COMPUTED_VALUE"""),0.0)</f>
        <v>0</v>
      </c>
      <c r="M19" s="11">
        <f>IFERROR(__xludf.DUMMYFUNCTION("""COMPUTED_VALUE"""),5.0)</f>
        <v>5</v>
      </c>
      <c r="N19" s="11"/>
      <c r="O19" s="11"/>
      <c r="P19" s="11"/>
      <c r="Q19" s="11"/>
      <c r="R19" s="11"/>
      <c r="S19" s="11">
        <f>IFERROR(__xludf.DUMMYFUNCTION("""COMPUTED_VALUE"""),0.3)</f>
        <v>0.3</v>
      </c>
      <c r="T19" s="11"/>
      <c r="U19" s="11"/>
      <c r="V19" s="11"/>
      <c r="W19" s="11"/>
      <c r="X19" s="11"/>
      <c r="Y19" s="11"/>
      <c r="Z19" s="15"/>
      <c r="AA19" s="15" t="str">
        <f>IFERROR(__xludf.DUMMYFUNCTION("""COMPUTED_VALUE"""),"U00190611")</f>
        <v>U00190611</v>
      </c>
    </row>
    <row r="20">
      <c r="A20" s="14">
        <v>19.0</v>
      </c>
      <c r="B20" s="14" t="s">
        <v>102</v>
      </c>
      <c r="C20" s="10">
        <f>IFERROR(__xludf.DUMMYFUNCTION("""COMPUTED_VALUE"""),2.4)</f>
        <v>2.4</v>
      </c>
      <c r="D20" s="11">
        <f>IFERROR(__xludf.DUMMYFUNCTION("""COMPUTED_VALUE"""),1.5)</f>
        <v>1.5</v>
      </c>
      <c r="E20" s="10">
        <f>IFERROR(__xludf.DUMMYFUNCTION("""COMPUTED_VALUE"""),3.1)</f>
        <v>3.1</v>
      </c>
      <c r="F20" s="11">
        <f>IFERROR(__xludf.DUMMYFUNCTION("""COMPUTED_VALUE"""),2.3)</f>
        <v>2.3</v>
      </c>
      <c r="G20" s="1">
        <f>IFERROR(__xludf.DUMMYFUNCTION("""COMPUTED_VALUE"""),0.0)</f>
        <v>0</v>
      </c>
      <c r="H20" s="1">
        <f>IFERROR(__xludf.DUMMYFUNCTION("""COMPUTED_VALUE"""),4.6)</f>
        <v>4.6</v>
      </c>
      <c r="I20" s="1">
        <f>IFERROR(__xludf.DUMMYFUNCTION("""COMPUTED_VALUE"""),4.8)</f>
        <v>4.8</v>
      </c>
      <c r="J20" s="11">
        <f>IFERROR(__xludf.DUMMYFUNCTION("""COMPUTED_VALUE"""),4.3)</f>
        <v>4.3</v>
      </c>
      <c r="K20" s="11">
        <f>IFERROR(__xludf.DUMMYFUNCTION("""COMPUTED_VALUE"""),0.0)</f>
        <v>0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>
        <f>IFERROR(__xludf.DUMMYFUNCTION("""COMPUTED_VALUE"""),3.5)</f>
        <v>3.5</v>
      </c>
      <c r="O20" s="11"/>
      <c r="P20" s="12">
        <f>IFERROR(__xludf.DUMMYFUNCTION("""COMPUTED_VALUE"""),4.7)</f>
        <v>4.7</v>
      </c>
      <c r="Q20" s="11"/>
      <c r="R20" s="11">
        <f>IFERROR(__xludf.DUMMYFUNCTION("""COMPUTED_VALUE"""),2.0)</f>
        <v>2</v>
      </c>
      <c r="S20" s="11">
        <f>IFERROR(__xludf.DUMMYFUNCTION("""COMPUTED_VALUE"""),2.1)</f>
        <v>2.1</v>
      </c>
      <c r="T20" s="11">
        <f>IFERROR(__xludf.DUMMYFUNCTION("""COMPUTED_VALUE"""),4.8)</f>
        <v>4.8</v>
      </c>
      <c r="U20" s="11">
        <f>IFERROR(__xludf.DUMMYFUNCTION("""COMPUTED_VALUE"""),4.6)</f>
        <v>4.6</v>
      </c>
      <c r="V20" s="11"/>
      <c r="W20" s="11"/>
      <c r="X20" s="11"/>
      <c r="Y20" s="11"/>
      <c r="Z20" s="15"/>
      <c r="AA20" s="15" t="str">
        <f>IFERROR(__xludf.DUMMYFUNCTION("""COMPUTED_VALUE"""),"U00190571")</f>
        <v>U00190571</v>
      </c>
    </row>
    <row r="21">
      <c r="A21" s="14">
        <v>20.0</v>
      </c>
      <c r="B21" s="14" t="s">
        <v>103</v>
      </c>
      <c r="C21" s="10">
        <f>IFERROR(__xludf.DUMMYFUNCTION("""COMPUTED_VALUE"""),3.6)</f>
        <v>3.6</v>
      </c>
      <c r="D21" s="11">
        <f>IFERROR(__xludf.DUMMYFUNCTION("""COMPUTED_VALUE"""),2.7)</f>
        <v>2.7</v>
      </c>
      <c r="E21" s="10">
        <f>IFERROR(__xludf.DUMMYFUNCTION("""COMPUTED_VALUE"""),2.3)</f>
        <v>2.3</v>
      </c>
      <c r="F21" s="11">
        <f>IFERROR(__xludf.DUMMYFUNCTION("""COMPUTED_VALUE"""),2.9)</f>
        <v>2.9</v>
      </c>
      <c r="G21" s="1">
        <f>IFERROR(__xludf.DUMMYFUNCTION("""COMPUTED_VALUE"""),0.0)</f>
        <v>0</v>
      </c>
      <c r="H21" s="1">
        <f>IFERROR(__xludf.DUMMYFUNCTION("""COMPUTED_VALUE"""),4.1)</f>
        <v>4.1</v>
      </c>
      <c r="I21" s="1">
        <f>IFERROR(__xludf.DUMMYFUNCTION("""COMPUTED_VALUE"""),5.0)</f>
        <v>5</v>
      </c>
      <c r="J21" s="11">
        <f>IFERROR(__xludf.DUMMYFUNCTION("""COMPUTED_VALUE"""),0.0)</f>
        <v>0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IFERROR(__xludf.DUMMYFUNCTION("""COMPUTED_VALUE"""),4.8)</f>
        <v>4.8</v>
      </c>
      <c r="N21" s="11">
        <f>IFERROR(__xludf.DUMMYFUNCTION("""COMPUTED_VALUE"""),2.7)</f>
        <v>2.7</v>
      </c>
      <c r="O21" s="11"/>
      <c r="P21" s="12">
        <f>IFERROR(__xludf.DUMMYFUNCTION("""COMPUTED_VALUE"""),2.5)</f>
        <v>2.5</v>
      </c>
      <c r="Q21" s="11"/>
      <c r="R21" s="11">
        <f>IFERROR(__xludf.DUMMYFUNCTION("""COMPUTED_VALUE"""),1.3)</f>
        <v>1.3</v>
      </c>
      <c r="S21" s="11">
        <f>IFERROR(__xludf.DUMMYFUNCTION("""COMPUTED_VALUE"""),2.1)</f>
        <v>2.1</v>
      </c>
      <c r="T21" s="11">
        <f>IFERROR(__xludf.DUMMYFUNCTION("""COMPUTED_VALUE"""),4.9)</f>
        <v>4.9</v>
      </c>
      <c r="U21" s="11">
        <f>IFERROR(__xludf.DUMMYFUNCTION("""COMPUTED_VALUE"""),0.0)</f>
        <v>0</v>
      </c>
      <c r="V21" s="11"/>
      <c r="W21" s="11"/>
      <c r="X21" s="11"/>
      <c r="Y21" s="11"/>
      <c r="Z21" s="15"/>
      <c r="AA21" s="15" t="str">
        <f>IFERROR(__xludf.DUMMYFUNCTION("""COMPUTED_VALUE"""),"U00195213")</f>
        <v>U00195213</v>
      </c>
    </row>
    <row r="22">
      <c r="A22" s="14">
        <v>21.0</v>
      </c>
      <c r="B22" s="14" t="s">
        <v>104</v>
      </c>
      <c r="C22" s="10">
        <f>IFERROR(__xludf.DUMMYFUNCTION("""COMPUTED_VALUE"""),3.6)</f>
        <v>3.6</v>
      </c>
      <c r="D22" s="11">
        <f>IFERROR(__xludf.DUMMYFUNCTION("""COMPUTED_VALUE"""),3.0)</f>
        <v>3</v>
      </c>
      <c r="E22" s="10">
        <f>IFERROR(__xludf.DUMMYFUNCTION("""COMPUTED_VALUE"""),3.2)</f>
        <v>3.2</v>
      </c>
      <c r="F22" s="11">
        <f>IFERROR(__xludf.DUMMYFUNCTION("""COMPUTED_VALUE"""),3.3)</f>
        <v>3.3</v>
      </c>
      <c r="G22" s="1">
        <f>IFERROR(__xludf.DUMMYFUNCTION("""COMPUTED_VALUE"""),4.7)</f>
        <v>4.7</v>
      </c>
      <c r="H22" s="1">
        <f>IFERROR(__xludf.DUMMYFUNCTION("""COMPUTED_VALUE"""),0.0)</f>
        <v>0</v>
      </c>
      <c r="I22" s="1">
        <f>IFERROR(__xludf.DUMMYFUNCTION("""COMPUTED_VALUE"""),4.8)</f>
        <v>4.8</v>
      </c>
      <c r="J22" s="11">
        <f>IFERROR(__xludf.DUMMYFUNCTION("""COMPUTED_VALUE"""),5.0)</f>
        <v>5</v>
      </c>
      <c r="K22" s="11">
        <f>IFERROR(__xludf.DUMMYFUNCTION("""COMPUTED_VALUE"""),0.0)</f>
        <v>0</v>
      </c>
      <c r="L22" s="11">
        <f>IFERROR(__xludf.DUMMYFUNCTION("""COMPUTED_VALUE"""),4.6)</f>
        <v>4.6</v>
      </c>
      <c r="M22" s="11">
        <f>IFERROR(__xludf.DUMMYFUNCTION("""COMPUTED_VALUE"""),0.0)</f>
        <v>0</v>
      </c>
      <c r="N22" s="11">
        <f>IFERROR(__xludf.DUMMYFUNCTION("""COMPUTED_VALUE"""),3.4)</f>
        <v>3.4</v>
      </c>
      <c r="O22" s="11"/>
      <c r="P22" s="12">
        <f>IFERROR(__xludf.DUMMYFUNCTION("""COMPUTED_VALUE"""),2.4)</f>
        <v>2.4</v>
      </c>
      <c r="Q22" s="11"/>
      <c r="R22" s="11">
        <f>IFERROR(__xludf.DUMMYFUNCTION("""COMPUTED_VALUE"""),1.5)</f>
        <v>1.5</v>
      </c>
      <c r="S22" s="11">
        <f>IFERROR(__xludf.DUMMYFUNCTION("""COMPUTED_VALUE"""),2.4)</f>
        <v>2.4</v>
      </c>
      <c r="T22" s="11">
        <f>IFERROR(__xludf.DUMMYFUNCTION("""COMPUTED_VALUE"""),4.8)</f>
        <v>4.8</v>
      </c>
      <c r="U22" s="11">
        <f>IFERROR(__xludf.DUMMYFUNCTION("""COMPUTED_VALUE"""),0.0)</f>
        <v>0</v>
      </c>
      <c r="V22" s="11"/>
      <c r="W22" s="11"/>
      <c r="X22" s="11"/>
      <c r="Y22" s="11"/>
      <c r="Z22" s="15"/>
      <c r="AA22" s="15" t="str">
        <f>IFERROR(__xludf.DUMMYFUNCTION("""COMPUTED_VALUE"""),"U00184452")</f>
        <v>U00184452</v>
      </c>
    </row>
    <row r="23">
      <c r="C23" s="12">
        <f>IFERROR(__xludf.DUMMYFUNCTION("""COMPUTED_VALUE"""),3.4809523809523806)</f>
        <v>3.480952381</v>
      </c>
      <c r="D23" s="12">
        <f>IFERROR(__xludf.DUMMYFUNCTION("""COMPUTED_VALUE"""),2.576190476190476)</f>
        <v>2.576190476</v>
      </c>
      <c r="E23" s="12">
        <f>IFERROR(__xludf.DUMMYFUNCTION("""COMPUTED_VALUE"""),3.5619047619047617)</f>
        <v>3.561904762</v>
      </c>
      <c r="F23" s="12">
        <f>IFERROR(__xludf.DUMMYFUNCTION("""COMPUTED_VALUE"""),3.1809523809523808)</f>
        <v>3.180952381</v>
      </c>
      <c r="G23" s="12">
        <f>IFERROR(__xludf.DUMMYFUNCTION("""COMPUTED_VALUE"""),3.7285714285714286)</f>
        <v>3.728571429</v>
      </c>
      <c r="H23" s="12">
        <f>IFERROR(__xludf.DUMMYFUNCTION("""COMPUTED_VALUE"""),3.8714285714285706)</f>
        <v>3.871428571</v>
      </c>
      <c r="I23" s="12">
        <f>IFERROR(__xludf.DUMMYFUNCTION("""COMPUTED_VALUE"""),2.7428571428571424)</f>
        <v>2.742857143</v>
      </c>
      <c r="J23" s="12">
        <f>IFERROR(__xludf.DUMMYFUNCTION("""COMPUTED_VALUE"""),2.8857142857142852)</f>
        <v>2.885714286</v>
      </c>
      <c r="K23" s="12">
        <f>IFERROR(__xludf.DUMMYFUNCTION("""COMPUTED_VALUE"""),2.5952380952380953)</f>
        <v>2.595238095</v>
      </c>
      <c r="L23" s="12">
        <f>IFERROR(__xludf.DUMMYFUNCTION("""COMPUTED_VALUE"""),2.4476190476190474)</f>
        <v>2.447619048</v>
      </c>
      <c r="M23" s="12">
        <f>IFERROR(__xludf.DUMMYFUNCTION("""COMPUTED_VALUE"""),3.9904761904761905)</f>
        <v>3.99047619</v>
      </c>
      <c r="N23" s="12">
        <f>IFERROR(__xludf.DUMMYFUNCTION("""COMPUTED_VALUE"""),3.144444444444444)</f>
        <v>3.144444444</v>
      </c>
      <c r="O23" s="11"/>
      <c r="P23" s="12">
        <f>IFERROR(__xludf.DUMMYFUNCTION("""COMPUTED_VALUE"""),3.377777777777778)</f>
        <v>3.377777778</v>
      </c>
      <c r="Q23" s="11"/>
      <c r="R23" s="12">
        <f>IFERROR(__xludf.DUMMYFUNCTION("""COMPUTED_VALUE"""),1.6277777777777778)</f>
        <v>1.627777778</v>
      </c>
      <c r="S23" s="12">
        <f>IFERROR(__xludf.DUMMYFUNCTION("""COMPUTED_VALUE"""),2.266666666666667)</f>
        <v>2.266666667</v>
      </c>
      <c r="T23" s="12">
        <f>IFERROR(__xludf.DUMMYFUNCTION("""COMPUTED_VALUE"""),3.9444444444444446)</f>
        <v>3.944444444</v>
      </c>
      <c r="U23" s="12">
        <f>IFERROR(__xludf.DUMMYFUNCTION("""COMPUTED_VALUE"""),2.761111111111111)</f>
        <v>2.761111111</v>
      </c>
      <c r="V23" s="11"/>
      <c r="W23" s="11"/>
      <c r="X23" s="11"/>
      <c r="Y23" s="11"/>
      <c r="Z23" s="15"/>
      <c r="AA23" s="15"/>
    </row>
    <row r="24"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</sheetData>
  <drawing r:id="rId1"/>
</worksheet>
</file>